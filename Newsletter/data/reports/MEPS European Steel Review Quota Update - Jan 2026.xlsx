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F:\Jon\Tariffs research &amp; Monthly Quota Update\Monthly Quota Spreadsheets\"/>
    </mc:Choice>
  </mc:AlternateContent>
  <xr:revisionPtr revIDLastSave="0" documentId="13_ncr:1_{E4461BF9-EE19-4984-8BAF-816B1D92D23C}" xr6:coauthVersionLast="47" xr6:coauthVersionMax="47" xr10:uidLastSave="{00000000-0000-0000-0000-000000000000}"/>
  <bookViews>
    <workbookView xWindow="-28910" yWindow="-110" windowWidth="29020" windowHeight="15700" xr2:uid="{00000000-000D-0000-FFFF-FFFF00000000}"/>
  </bookViews>
  <sheets>
    <sheet name="Instructions" sheetId="3" r:id="rId1"/>
    <sheet name="European Union" sheetId="5" r:id="rId2"/>
    <sheet name="United Kingdom" sheetId="4" r:id="rId3"/>
  </sheets>
  <definedNames>
    <definedName name="Slicer_Country1">#N/A</definedName>
    <definedName name="Slicer_Country3">#N/A</definedName>
    <definedName name="Slicer_Quota_Category2">#N/A</definedName>
    <definedName name="Slicer_Quota_Category3">#N/A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3" l="1"/>
  <c r="A7" i="3"/>
  <c r="A23" i="3" l="1"/>
  <c r="A22" i="3"/>
</calcChain>
</file>

<file path=xl/sharedStrings.xml><?xml version="1.0" encoding="utf-8"?>
<sst xmlns="http://schemas.openxmlformats.org/spreadsheetml/2006/main" count="573" uniqueCount="128">
  <si>
    <t>Quota Category</t>
  </si>
  <si>
    <t>Balance Remaining (Tonnes)</t>
  </si>
  <si>
    <t>% Balance Remaining</t>
  </si>
  <si>
    <t>% Quota Allocated</t>
  </si>
  <si>
    <t>Instructions for sorting the data</t>
  </si>
  <si>
    <t>Notes on the source data</t>
  </si>
  <si>
    <t>Use the drop down menus in the table headers to organise and sort the data.</t>
  </si>
  <si>
    <t>Use Clear Filters in the top right of the slicer box to remove applied filters.</t>
  </si>
  <si>
    <t>Select multiple categories by holding down the Ctrl key or clicking on the multiple selection symbol in the top right of the slicer box.</t>
  </si>
  <si>
    <t>Country</t>
  </si>
  <si>
    <t>MEPS European Union Quota Update</t>
  </si>
  <si>
    <t>Turkey</t>
  </si>
  <si>
    <t>India</t>
  </si>
  <si>
    <t>Korea, Republic of</t>
  </si>
  <si>
    <t>United Kingdom</t>
  </si>
  <si>
    <t>Other countries</t>
  </si>
  <si>
    <t>China</t>
  </si>
  <si>
    <t>Taiwan</t>
  </si>
  <si>
    <t>Tin Mill products</t>
  </si>
  <si>
    <t>United States</t>
  </si>
  <si>
    <t>Stainless Hot Rolled Quarto Plates</t>
  </si>
  <si>
    <t>Non Alloy and Other Alloy Merchant Bars and Light Sections</t>
  </si>
  <si>
    <t>Switzerland</t>
  </si>
  <si>
    <t>Rebars</t>
  </si>
  <si>
    <t>Bosnia and Herzegovina</t>
  </si>
  <si>
    <t>Moldova, Republic of</t>
  </si>
  <si>
    <t>Stainless Bars and Light Sections</t>
  </si>
  <si>
    <t>Stainless Wire Rod</t>
  </si>
  <si>
    <t>Japan</t>
  </si>
  <si>
    <t>Non Alloy and Other Alloy Wire Rod</t>
  </si>
  <si>
    <t>Angles, Shapes and Sections of Iron or Non Alloy Steel</t>
  </si>
  <si>
    <t>Sheet Piling</t>
  </si>
  <si>
    <t>United Arab Emirates</t>
  </si>
  <si>
    <t>Railway Material</t>
  </si>
  <si>
    <t>Gas pipes</t>
  </si>
  <si>
    <t>North Macedonia</t>
  </si>
  <si>
    <t>Hollow sections</t>
  </si>
  <si>
    <t>Seamless Stainless Tubes and Pipes</t>
  </si>
  <si>
    <t>Other Seamless Tubes</t>
  </si>
  <si>
    <t>Other Welded Pipes</t>
  </si>
  <si>
    <t>Non-alloy and other alloy cold finished bars</t>
  </si>
  <si>
    <t>Non Alloy Wire</t>
  </si>
  <si>
    <t>Source: EU Tariff quota consultation</t>
  </si>
  <si>
    <t>Imports are assigned to one of 29 different product categories.</t>
  </si>
  <si>
    <t>Where a nation does not receive a country specific quota their imports are counted in the "Other countries" category.</t>
  </si>
  <si>
    <t>Unused quota tonnages are rolled over to the following quarter.</t>
  </si>
  <si>
    <t>If a nation receiving a country specific quota completely uses its allowance throughout the year it may use the "Other countries" allowance in the April - June period.</t>
  </si>
  <si>
    <t>Many of the largest nations will receive a country specific quota, with tonnage allowances based on historical import volumes.</t>
  </si>
  <si>
    <t>MEPS United Kingdom Quota Update</t>
  </si>
  <si>
    <t>Source: UK Integrated Online Tariff</t>
  </si>
  <si>
    <t>Quota Limit (Tonnes)</t>
  </si>
  <si>
    <t>European Union</t>
  </si>
  <si>
    <t>All others</t>
  </si>
  <si>
    <t>Metallic coated sheet</t>
  </si>
  <si>
    <t>Organic coated sheet</t>
  </si>
  <si>
    <t>Non-alloy and Other Alloy Quarto Plates</t>
  </si>
  <si>
    <t>Alloy merchant bars and light sections</t>
  </si>
  <si>
    <t>Non-alloy merchant bars and light sections</t>
  </si>
  <si>
    <t>Non-alloy and Other Alloy Wire Rod</t>
  </si>
  <si>
    <t>Imports are assigned to one of 17 different product categories.</t>
  </si>
  <si>
    <t>Where a nation does not receive a country specific quota their imports are counted in the "All others" category.</t>
  </si>
  <si>
    <t>If a nation receiving a country specific quota completely uses its allowance throughout the year it may use the "All others" allowance in the April - June period.</t>
  </si>
  <si>
    <t>For ease of use the data has been split into separate tabs for each region/nation.</t>
  </si>
  <si>
    <t>The European Union tab includes data on imports of finished steel products into the European Union.</t>
  </si>
  <si>
    <t>Figures are update daily, with the latest available data correct as at the end of the previous working day.</t>
  </si>
  <si>
    <t>Clicking the bars in the slicers at the top of the table will filter the data by Quota Category, Country or Quota Allowance Granted.</t>
  </si>
  <si>
    <t>European Union - Tariff Rate Quotas</t>
  </si>
  <si>
    <t>United Kingdom - Tariff Rate Quotas</t>
  </si>
  <si>
    <t>Quota Allocated (Tonnes)</t>
  </si>
  <si>
    <t>South Africa</t>
  </si>
  <si>
    <t>Quotas are administered quarterly on a first-come first-serve basis.</t>
  </si>
  <si>
    <t>The United Kingdom tab includes data on imports of finished steel products into the United Kingdom.</t>
  </si>
  <si>
    <t>Slicer filters can be applied separately, combined or cleared.</t>
  </si>
  <si>
    <t>Slab</t>
  </si>
  <si>
    <t>Russia</t>
  </si>
  <si>
    <t>From October 7 2022 an annual quota applies to imports of slab and billet from Russia. All other semi-finished material has been banned.</t>
  </si>
  <si>
    <t>Türkiye</t>
  </si>
  <si>
    <t>Large welded tubes</t>
  </si>
  <si>
    <t>Egypt*</t>
  </si>
  <si>
    <t>Japan*</t>
  </si>
  <si>
    <t>Malaysia*</t>
  </si>
  <si>
    <t>Algeria*</t>
  </si>
  <si>
    <t>Bosnia and Herzegovina*</t>
  </si>
  <si>
    <t>Korea, Republic of*</t>
  </si>
  <si>
    <t>Indonesia*</t>
  </si>
  <si>
    <t>Serbia*</t>
  </si>
  <si>
    <t>Republic of Korea</t>
  </si>
  <si>
    <t>Angles, Shapes and Sections of Iron or Non-alloy Steel</t>
  </si>
  <si>
    <t>Large welded tubes - 25A</t>
  </si>
  <si>
    <t>Large welded tubes - 25B</t>
  </si>
  <si>
    <t>Serbia</t>
  </si>
  <si>
    <t>Vietnam*</t>
  </si>
  <si>
    <t>Taiwan*</t>
  </si>
  <si>
    <t>Australia*</t>
  </si>
  <si>
    <t>Switzerland*</t>
  </si>
  <si>
    <t>United States*</t>
  </si>
  <si>
    <t>Libya*</t>
  </si>
  <si>
    <t>Canada*</t>
  </si>
  <si>
    <t>Non Alloy and Other Alloy Cold Rolled Sheets</t>
  </si>
  <si>
    <t>Iran, Islamic Republic of</t>
  </si>
  <si>
    <t>Organic Coated Sheets</t>
  </si>
  <si>
    <t>Non Alloy and Other Alloy Quarto Plates</t>
  </si>
  <si>
    <t>Stainless Hot Rolled Sheets and Strips</t>
  </si>
  <si>
    <t>Stainless Cold Rolled Sheets and Strips</t>
  </si>
  <si>
    <t>Non-alloy and other alloy hot-rolled sheet and strip 1A</t>
  </si>
  <si>
    <t>Non-alloy and other alloy hot-rolled sheet and strip 1B</t>
  </si>
  <si>
    <t>Metallic Coated Sheets - 4a</t>
  </si>
  <si>
    <t>Metallic Coated Sheets - 4b</t>
  </si>
  <si>
    <t>This spreadsheet contains data for the safeguard systems for both the European Union and the United Kingdom.</t>
  </si>
  <si>
    <t>Non Alloy and Other Alloy Hot Rolled Sheets and Strips - 1a</t>
  </si>
  <si>
    <t>Non Alloy and Other Alloy Hot Rolled Sheets and Strips - 1b</t>
  </si>
  <si>
    <t>Türkiye*</t>
  </si>
  <si>
    <t>Electrical Sheets (other than GOES) - 3a</t>
  </si>
  <si>
    <t>Electrical Sheets (other than GOES) - 3b</t>
  </si>
  <si>
    <t>India*</t>
  </si>
  <si>
    <t>China*</t>
  </si>
  <si>
    <t>United Arab Emirates*</t>
  </si>
  <si>
    <t>Large welded tubes: others</t>
  </si>
  <si>
    <t>South Korea*</t>
  </si>
  <si>
    <t>Singapore*</t>
  </si>
  <si>
    <t>New Zealand*</t>
  </si>
  <si>
    <t>Norway*</t>
  </si>
  <si>
    <t>Tunisia*</t>
  </si>
  <si>
    <t>Following the introduction of individual country caps under the EU import safeguard measures for nations covered by the "other countries" quota, MEPS now provides a detailed breakdown of the relevant quota allocations across affected product categories.
Nations granted an order number within an "other countries" quota are marked with an *. The figure in the “Quota Limit (Tonnes)” column shows these nations' maximum allocation of the “other countries” quota. This is operated on a first-come, first-serve basis. If the quota limit is reached before their allocation is used, then the 25% above-quota tariff may be applied. Please note that this is not an exhaustive list of the nations which fall within the “other countries” quota.
The European Commission has adjusted steel safeguard measures for Category "Angles, shapes, and sections of iron or non-alloy steel". The change, implemented on August 1, includes the reintroduction of country-specific quotas for South Korea, Turkey and the United Kingdom.
For other countries importing under the residual quota, the usage cap will rise from 15% to 40%.</t>
  </si>
  <si>
    <t>MEPS Quota Update - January 2026</t>
  </si>
  <si>
    <t>Current quota period: 01-Jan-2026 to 31-Mar-2026</t>
  </si>
  <si>
    <t xml:space="preserve">Following the introduction of individual country caps under the UK import safeguard measures for nations covered by the "other countries" quota, MEPS now provides a detailed breakdown of the relevant quota allocations across affected product categories.
Nations granted an order number within an "other countries" quota are marked with an *. The figure in the “Quota Limit (Tonnes)” column shows these nations' maximum allocation of the “other countries” quota. This is operated on a first-come, first-serve basis. If the quota limit is reached before their allocation is used, then the 25% above-quota tariff may be applied. Please note that this is not an exhaustive list of the nations which fall within the “other countries” quota.
The numbers in the spreadsheet are those published by the HMRC.
</t>
  </si>
  <si>
    <t>Latest available data: 19-Jan-2026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</si>
</sst>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6" x14ac:knownFonts="1">
    <font>
      <sz val="11"/>
      <color theme="1"/>
      <name val="Calibri"/>
      <family val="2"/>
      <scheme val="minor"/>
    </font>
    <font>
      <sz val="11"/>
      <color theme="1"/>
      <name val="Calibri"/>
      <family val="2"/>
      <scheme val="minor"/>
    </font>
    <font>
      <sz val="11"/>
      <color theme="0"/>
      <name val="Kalinga"/>
      <family val="2"/>
    </font>
    <font>
      <sz val="11"/>
      <color theme="1"/>
      <name val="Kalinga"/>
      <family val="2"/>
    </font>
    <font>
      <sz val="16"/>
      <color theme="0"/>
      <name val="Kalinga"/>
      <family val="2"/>
    </font>
    <font>
      <b/>
      <sz val="16"/>
      <color theme="0"/>
      <name val="Kalinga"/>
      <family val="2"/>
    </font>
    <font>
      <sz val="12"/>
      <color theme="0"/>
      <name val="Kalinga"/>
      <family val="2"/>
    </font>
    <font>
      <b/>
      <sz val="26"/>
      <color theme="0"/>
      <name val="Kalinga"/>
      <family val="2"/>
    </font>
    <font>
      <u/>
      <sz val="11"/>
      <color theme="10"/>
      <name val="Calibri"/>
      <family val="2"/>
      <scheme val="minor"/>
    </font>
    <font>
      <u/>
      <sz val="11"/>
      <color theme="0"/>
      <name val="Kalinga"/>
      <family val="2"/>
    </font>
    <font>
      <sz val="26"/>
      <color theme="0"/>
      <name val="Kalinga"/>
      <family val="2"/>
    </font>
    <font>
      <sz val="12"/>
      <color theme="1"/>
      <name val="Kalinga"/>
      <family val="2"/>
    </font>
    <font>
      <b/>
      <sz val="11"/>
      <color theme="1"/>
      <name val="Segoe UI"/>
      <family val="2"/>
    </font>
    <font>
      <b/>
      <sz val="11"/>
      <color theme="0"/>
      <name val="Segoe UI"/>
      <family val="2"/>
    </font>
    <font>
      <sz val="11"/>
      <color theme="1"/>
      <name val="Segoe UI"/>
      <family val="2"/>
    </font>
    <font>
      <sz val="10"/>
      <color theme="1"/>
      <name val="Kalinga"/>
      <family val="2"/>
    </font>
  </fonts>
  <fills count="4">
    <fill>
      <patternFill patternType="none"/>
    </fill>
    <fill>
      <patternFill patternType="gray125"/>
    </fill>
    <fill>
      <patternFill patternType="solid">
        <fgColor theme="0"/>
        <bgColor indexed="64"/>
      </patternFill>
    </fill>
    <fill>
      <patternFill patternType="solid">
        <fgColor rgb="FF16477C"/>
        <bgColor indexed="64"/>
      </patternFill>
    </fill>
  </fills>
  <borders count="2">
    <border>
      <left/>
      <right/>
      <top/>
      <bottom/>
      <diagonal/>
    </border>
    <border>
      <left/>
      <right/>
      <top style="thin">
        <color theme="4" tint="0.39997558519241921"/>
      </top>
      <bottom style="thin">
        <color theme="4" tint="0.3999755851924192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28">
    <xf numFmtId="0" fontId="0" fillId="0" borderId="0" xfId="0"/>
    <xf numFmtId="0" fontId="3" fillId="2" borderId="0" xfId="0" applyFont="1" applyFill="1"/>
    <xf numFmtId="0" fontId="6" fillId="2" borderId="0" xfId="0" applyFont="1" applyFill="1"/>
    <xf numFmtId="0" fontId="4" fillId="2" borderId="0" xfId="0" applyFont="1" applyFill="1"/>
    <xf numFmtId="0" fontId="5" fillId="3" borderId="0" xfId="0" applyFont="1" applyFill="1"/>
    <xf numFmtId="0" fontId="3" fillId="3" borderId="0" xfId="0" applyFont="1" applyFill="1"/>
    <xf numFmtId="0" fontId="6" fillId="3" borderId="0" xfId="0" applyFont="1" applyFill="1"/>
    <xf numFmtId="0" fontId="4" fillId="3" borderId="0" xfId="0" applyFont="1" applyFill="1"/>
    <xf numFmtId="0" fontId="10" fillId="3" borderId="0" xfId="0" applyFont="1" applyFill="1"/>
    <xf numFmtId="0" fontId="2" fillId="3" borderId="0" xfId="0" applyFont="1" applyFill="1"/>
    <xf numFmtId="0" fontId="9" fillId="3" borderId="0" xfId="0" applyFont="1" applyFill="1"/>
    <xf numFmtId="0" fontId="9" fillId="3" borderId="0" xfId="3" applyFont="1" applyFill="1"/>
    <xf numFmtId="0" fontId="11" fillId="2" borderId="0" xfId="0" applyFont="1" applyFill="1"/>
    <xf numFmtId="0" fontId="13" fillId="3" borderId="1" xfId="0" applyFont="1" applyFill="1" applyBorder="1" applyAlignment="1" applyProtection="1">
      <alignment horizontal="left" wrapText="1"/>
      <protection locked="0"/>
    </xf>
    <xf numFmtId="0" fontId="14" fillId="0" borderId="0" xfId="0" applyFont="1" applyAlignment="1" applyProtection="1">
      <alignment horizontal="left"/>
      <protection locked="0"/>
    </xf>
    <xf numFmtId="9" fontId="14" fillId="0" borderId="0" xfId="2" applyFont="1" applyFill="1" applyAlignment="1" applyProtection="1">
      <alignment horizontal="right"/>
      <protection locked="0"/>
    </xf>
    <xf numFmtId="164" fontId="14" fillId="0" borderId="0" xfId="1" applyNumberFormat="1" applyFont="1" applyFill="1" applyAlignment="1" applyProtection="1">
      <alignment horizontal="right"/>
      <protection locked="0"/>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right" vertical="center" wrapText="1"/>
      <protection locked="0"/>
    </xf>
    <xf numFmtId="0" fontId="14" fillId="3" borderId="0" xfId="0" applyFont="1" applyFill="1" applyAlignment="1" applyProtection="1">
      <alignment horizontal="left" vertical="center" wrapText="1"/>
      <protection locked="0"/>
    </xf>
    <xf numFmtId="0" fontId="14" fillId="3" borderId="0" xfId="0" applyFont="1" applyFill="1" applyAlignment="1" applyProtection="1">
      <alignment horizontal="right" vertical="center" wrapText="1"/>
      <protection locked="0"/>
    </xf>
    <xf numFmtId="0" fontId="14" fillId="0" borderId="0" xfId="0" applyFont="1" applyProtection="1">
      <protection locked="0"/>
    </xf>
    <xf numFmtId="3" fontId="14" fillId="0" borderId="0" xfId="1" applyNumberFormat="1" applyFont="1" applyFill="1" applyAlignment="1" applyProtection="1">
      <alignment horizontal="right"/>
      <protection locked="0"/>
    </xf>
    <xf numFmtId="164" fontId="14" fillId="0" borderId="0" xfId="1" applyNumberFormat="1" applyFont="1" applyFill="1" applyProtection="1">
      <protection locked="0"/>
    </xf>
    <xf numFmtId="9" fontId="14" fillId="0" borderId="0" xfId="2" applyFont="1" applyFill="1" applyProtection="1">
      <protection locked="0"/>
    </xf>
    <xf numFmtId="0" fontId="7" fillId="3" borderId="0" xfId="0" applyFont="1" applyFill="1"/>
    <xf numFmtId="0" fontId="3" fillId="2" borderId="0" xfId="0" applyFont="1" applyFill="1" applyAlignment="1">
      <alignment horizontal="left" vertical="center" wrapText="1"/>
    </xf>
    <xf numFmtId="0" fontId="15" fillId="2" borderId="0" xfId="0" applyFont="1" applyFill="1" applyAlignment="1">
      <alignment horizontal="left" vertical="center" wrapText="1"/>
    </xf>
  </cellXfs>
  <cellStyles count="4">
    <cellStyle name="Comma" xfId="1" builtinId="3"/>
    <cellStyle name="Hyperlink" xfId="3" builtinId="8"/>
    <cellStyle name="Normal" xfId="0" builtinId="0"/>
    <cellStyle name="Percent" xfId="2" builtinId="5"/>
  </cellStyles>
  <dxfs count="18">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center" vertical="bottom" textRotation="0" wrapText="0" indent="0" justifyLastLine="0" shrinkToFit="0" readingOrder="0"/>
      <protection locked="0" hidden="0"/>
    </dxf>
    <dxf>
      <font>
        <b/>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64" formatCode="_-* #,##0_-;\-* #,##0_-;_-* &quot;-&quot;??_-;_-@_-"/>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right" vertical="center" textRotation="0" wrapText="1" indent="0" justifyLastLine="0" shrinkToFit="0" readingOrder="0"/>
      <protection locked="0" hidden="0"/>
    </dxf>
  </dxfs>
  <tableStyles count="0" defaultTableStyle="TableStyleMedium2" defaultPivotStyle="PivotStyleLight16"/>
  <colors>
    <mruColors>
      <color rgb="FF16477C"/>
      <color rgb="FF355F89"/>
      <color rgb="FF005091"/>
      <color rgb="FF509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107157</xdr:colOff>
      <xdr:row>0</xdr:row>
      <xdr:rowOff>357187</xdr:rowOff>
    </xdr:from>
    <xdr:to>
      <xdr:col>5</xdr:col>
      <xdr:colOff>1425292</xdr:colOff>
      <xdr:row>2</xdr:row>
      <xdr:rowOff>202404</xdr:rowOff>
    </xdr:to>
    <xdr:pic>
      <xdr:nvPicPr>
        <xdr:cNvPr id="2" name="Picture 1">
          <a:extLst>
            <a:ext uri="{FF2B5EF4-FFF2-40B4-BE49-F238E27FC236}">
              <a16:creationId xmlns:a16="http://schemas.microsoft.com/office/drawing/2014/main" id="{7DBF2BEC-7C0E-42D9-BDCB-2426AFA1BF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8207" y="357187"/>
          <a:ext cx="3808923" cy="791367"/>
        </a:xfrm>
        <a:prstGeom prst="rect">
          <a:avLst/>
        </a:prstGeom>
      </xdr:spPr>
    </xdr:pic>
    <xdr:clientData/>
  </xdr:twoCellAnchor>
  <xdr:absoluteAnchor>
    <xdr:pos x="0" y="1932111"/>
    <xdr:ext cx="3960000" cy="2559600"/>
    <mc:AlternateContent xmlns:mc="http://schemas.openxmlformats.org/markup-compatibility/2006" xmlns:sle15="http://schemas.microsoft.com/office/drawing/2012/slicer">
      <mc:Choice Requires="sle15">
        <xdr:graphicFrame macro="">
          <xdr:nvGraphicFramePr>
            <xdr:cNvPr id="3" name="Quota Category 3">
              <a:extLst>
                <a:ext uri="{FF2B5EF4-FFF2-40B4-BE49-F238E27FC236}">
                  <a16:creationId xmlns:a16="http://schemas.microsoft.com/office/drawing/2014/main" id="{46C10FDA-6736-4E76-B8CC-E8C78513998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3"/>
            </a:graphicData>
          </a:graphic>
        </xdr:graphicFrame>
      </mc:Choice>
      <mc:Fallback xmlns="">
        <xdr:sp macro="" textlink="">
          <xdr:nvSpPr>
            <xdr:cNvPr id="0" name=""/>
            <xdr:cNvSpPr>
              <a:spLocks noTextEdit="1"/>
            </xdr:cNvSpPr>
          </xdr:nvSpPr>
          <xdr:spPr>
            <a:xfrm>
              <a:off x="0" y="1932111"/>
              <a:ext cx="3960000"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absoluteAnchor>
    <xdr:pos x="3996000" y="1932111"/>
    <xdr:ext cx="4304563" cy="2559600"/>
    <mc:AlternateContent xmlns:mc="http://schemas.openxmlformats.org/markup-compatibility/2006" xmlns:sle15="http://schemas.microsoft.com/office/drawing/2012/slicer">
      <mc:Choice Requires="sle15">
        <xdr:graphicFrame macro="">
          <xdr:nvGraphicFramePr>
            <xdr:cNvPr id="4" name="Country 3">
              <a:extLst>
                <a:ext uri="{FF2B5EF4-FFF2-40B4-BE49-F238E27FC236}">
                  <a16:creationId xmlns:a16="http://schemas.microsoft.com/office/drawing/2014/main" id="{81308A77-47A4-4F6A-B3B5-F9B94F63AF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3996000" y="1932111"/>
              <a:ext cx="4304563"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5</xdr:row>
      <xdr:rowOff>122362</xdr:rowOff>
    </xdr:from>
    <xdr:to>
      <xdr:col>1</xdr:col>
      <xdr:colOff>51312</xdr:colOff>
      <xdr:row>13</xdr:row>
      <xdr:rowOff>201862</xdr:rowOff>
    </xdr:to>
    <mc:AlternateContent xmlns:mc="http://schemas.openxmlformats.org/markup-compatibility/2006" xmlns:sle15="http://schemas.microsoft.com/office/drawing/2012/slicer">
      <mc:Choice Requires="sle15">
        <xdr:graphicFrame macro="">
          <xdr:nvGraphicFramePr>
            <xdr:cNvPr id="4" name="Quota Category 2">
              <a:extLst>
                <a:ext uri="{FF2B5EF4-FFF2-40B4-BE49-F238E27FC236}">
                  <a16:creationId xmlns:a16="http://schemas.microsoft.com/office/drawing/2014/main" id="{E74CE4A4-D94E-4E0C-A92A-B36E15D4F6F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2"/>
            </a:graphicData>
          </a:graphic>
        </xdr:graphicFrame>
      </mc:Choice>
      <mc:Fallback xmlns="">
        <xdr:sp macro="" textlink="">
          <xdr:nvSpPr>
            <xdr:cNvPr id="0" name=""/>
            <xdr:cNvSpPr>
              <a:spLocks noTextEdit="1"/>
            </xdr:cNvSpPr>
          </xdr:nvSpPr>
          <xdr:spPr>
            <a:xfrm>
              <a:off x="0" y="1876550"/>
              <a:ext cx="4536000" cy="2492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123312</xdr:colOff>
      <xdr:row>7</xdr:row>
      <xdr:rowOff>198562</xdr:rowOff>
    </xdr:from>
    <xdr:to>
      <xdr:col>3</xdr:col>
      <xdr:colOff>1129437</xdr:colOff>
      <xdr:row>13</xdr:row>
      <xdr:rowOff>188812</xdr:rowOff>
    </xdr:to>
    <mc:AlternateContent xmlns:mc="http://schemas.openxmlformats.org/markup-compatibility/2006" xmlns:sle15="http://schemas.microsoft.com/office/drawing/2012/slicer">
      <mc:Choice Requires="sle15">
        <xdr:graphicFrame macro="">
          <xdr:nvGraphicFramePr>
            <xdr:cNvPr id="5" name="Country 1">
              <a:extLst>
                <a:ext uri="{FF2B5EF4-FFF2-40B4-BE49-F238E27FC236}">
                  <a16:creationId xmlns:a16="http://schemas.microsoft.com/office/drawing/2014/main" id="{6F8655DB-F5A3-40C3-948A-6C74E1D6EC2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608000" y="2556000"/>
              <a:ext cx="3816000" cy="18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4</xdr:col>
      <xdr:colOff>94740</xdr:colOff>
      <xdr:row>0</xdr:row>
      <xdr:rowOff>381002</xdr:rowOff>
    </xdr:from>
    <xdr:to>
      <xdr:col>5</xdr:col>
      <xdr:colOff>1381125</xdr:colOff>
      <xdr:row>2</xdr:row>
      <xdr:rowOff>226219</xdr:rowOff>
    </xdr:to>
    <xdr:pic>
      <xdr:nvPicPr>
        <xdr:cNvPr id="6" name="Picture 5">
          <a:extLst>
            <a:ext uri="{FF2B5EF4-FFF2-40B4-BE49-F238E27FC236}">
              <a16:creationId xmlns:a16="http://schemas.microsoft.com/office/drawing/2014/main" id="{D7E4FB45-378A-43E2-80EB-D79041D9C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2896" y="381002"/>
          <a:ext cx="3691448" cy="845342"/>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2" xr10:uid="{4A28DCE5-0A61-46ED-A943-8221CD8ED8B0}" sourceName="Quota Category">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2FDAD4C-CB3B-4AFD-A636-35440F6FE28F}" sourceName="Country">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7710A4AF-9F2E-4C27-9E7A-A9CE8096E161}" sourceName="Country">
  <extLst>
    <x:ext xmlns:x15="http://schemas.microsoft.com/office/spreadsheetml/2010/11/main" uri="{2F2917AC-EB37-4324-AD4E-5DD8C200BD13}">
      <x15:tableSlicerCache tableId="3"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3" xr10:uid="{3792DB78-F21F-45B7-B35E-B2F778EE080C}" sourceName="Quota Category">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7A788192-3522-4867-872D-44B108525FD4}" cache="Slicer_Country3" caption="Country" columnCount="2" lockedPosition="1" rowHeight="241300"/>
  <slicer name="Quota Category 3" xr10:uid="{7CFFB0E5-CAE1-4D1E-8EC2-5C78177419C7}" cache="Slicer_Quota_Category3" caption="Quota Category"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2" xr10:uid="{E4D11397-63BF-4D64-9576-908B0C10C881}" cache="Slicer_Quota_Category2" caption="Quota Category" lockedPosition="1" rowHeight="241300"/>
  <slicer name="Country 1" xr10:uid="{CFF1286F-3307-4763-B90F-1893FBE8F594}" cache="Slicer_Country1" caption="Country" columnCount="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B843BB-6D4C-413D-9459-234F25C2F640}" name="EU_Quotas4" displayName="EU_Quotas4" ref="A15:G204" totalsRowShown="0" headerRowDxfId="17" dataDxfId="16">
  <autoFilter ref="A15:G204" xr:uid="{E868E768-6237-458A-90D6-C15D3AA0A2D9}"/>
  <tableColumns count="7">
    <tableColumn id="1" xr3:uid="{B473FDE6-67DB-44AB-82D0-62A9576B1E19}" name="Quota Category" dataDxfId="15"/>
    <tableColumn id="2" xr3:uid="{99A5909C-6233-411A-8FED-2CA191C65C68}" name="Country" dataDxfId="14"/>
    <tableColumn id="3" xr3:uid="{F0817EF7-4EA4-4275-B6B4-57BB22A472C3}" name="Quota Limit (Tonnes)" dataDxfId="13" dataCellStyle="Comma"/>
    <tableColumn id="4" xr3:uid="{5186C5C8-9E62-43E1-961D-BD5EB4967960}" name="Quota Allocated (Tonnes)" dataDxfId="12" dataCellStyle="Comma"/>
    <tableColumn id="5" xr3:uid="{0B533B41-DCA5-4AC3-B502-6923DA837AB7}" name="% Quota Allocated" dataDxfId="11" dataCellStyle="Percent"/>
    <tableColumn id="6" xr3:uid="{E20C5404-E7FC-47B8-AE7E-A41F931B160E}" name="Balance Remaining (Tonnes)" dataDxfId="10" dataCellStyle="Comma"/>
    <tableColumn id="7" xr3:uid="{49D51D72-4CCA-420B-99E1-460488D3D686}" name="% Balance Remaining" dataDxfId="9"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D29541-2FD9-4998-81E2-66670B5EA6D8}" name="UK_Quotas" displayName="UK_Quotas" ref="A15:G86" totalsRowShown="0" headerRowDxfId="8" dataDxfId="7" dataCellStyle="Comma">
  <autoFilter ref="A15:G86" xr:uid="{CDD29541-2FD9-4998-81E2-66670B5EA6D8}"/>
  <tableColumns count="7">
    <tableColumn id="1" xr3:uid="{73AD5382-6028-4A06-B754-4F1F86386598}" name="Quota Category" dataDxfId="6"/>
    <tableColumn id="2" xr3:uid="{CDA14869-654B-4E15-866A-ED4EEED1DC11}" name="Country" dataDxfId="5"/>
    <tableColumn id="3" xr3:uid="{734D077B-4370-4B5D-B4FF-D51EB7112FE8}" name="Quota Limit (Tonnes)" dataDxfId="4" dataCellStyle="Comma"/>
    <tableColumn id="4" xr3:uid="{F328712A-9CF1-4A22-9014-212159298A8B}" name="Quota Allocated (Tonnes)" dataDxfId="3" dataCellStyle="Comma"/>
    <tableColumn id="5" xr3:uid="{5A17A7A4-0590-42CD-946D-47E1CEC81316}" name="% Quota Allocated" dataDxfId="2" dataCellStyle="Percent"/>
    <tableColumn id="6" xr3:uid="{9B3E0544-9776-4494-86BE-7025C19168A2}" name="Balance Remaining (Tonnes)" dataDxfId="1" dataCellStyle="Comma"/>
    <tableColumn id="7" xr3:uid="{1B4EC482-2DB2-4FF6-8066-FA94576D4B6E}" name="% Balance Remaining"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rade-tariff.service.gov.uk/quota_search" TargetMode="External"/><Relationship Id="rId1" Type="http://schemas.openxmlformats.org/officeDocument/2006/relationships/hyperlink" Target="https://ec.europa.eu/taxation_customs/dds2/taric/quota_consultation.jsp"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8C90-BB5B-452D-881C-BF94031F64CE}">
  <dimension ref="A1:H41"/>
  <sheetViews>
    <sheetView tabSelected="1" zoomScale="80" zoomScaleNormal="80" workbookViewId="0"/>
  </sheetViews>
  <sheetFormatPr defaultColWidth="8.7265625" defaultRowHeight="16.5" x14ac:dyDescent="0.55000000000000004"/>
  <cols>
    <col min="1" max="16384" width="8.7265625" style="9"/>
  </cols>
  <sheetData>
    <row r="1" spans="1:8" ht="39" x14ac:dyDescent="1.3">
      <c r="A1" s="8" t="s">
        <v>124</v>
      </c>
    </row>
    <row r="2" spans="1:8" x14ac:dyDescent="0.55000000000000004">
      <c r="A2" s="9" t="s">
        <v>108</v>
      </c>
    </row>
    <row r="3" spans="1:8" x14ac:dyDescent="0.55000000000000004">
      <c r="A3" s="9" t="s">
        <v>62</v>
      </c>
    </row>
    <row r="5" spans="1:8" x14ac:dyDescent="0.55000000000000004">
      <c r="H5" s="11"/>
    </row>
    <row r="6" spans="1:8" ht="39" x14ac:dyDescent="1.3">
      <c r="A6" s="8" t="s">
        <v>66</v>
      </c>
    </row>
    <row r="7" spans="1:8" s="7" customFormat="1" ht="24" x14ac:dyDescent="0.8">
      <c r="A7" s="7" t="str">
        <f>'European Union'!A2</f>
        <v>Current quota period: 01-Jan-2026 to 31-Mar-2026</v>
      </c>
    </row>
    <row r="8" spans="1:8" s="7" customFormat="1" ht="24" x14ac:dyDescent="0.8">
      <c r="A8" s="7" t="str">
        <f>'European Union'!A3</f>
        <v>Latest available data: 19-Jan-2026</v>
      </c>
    </row>
    <row r="9" spans="1:8" x14ac:dyDescent="0.55000000000000004">
      <c r="A9" s="10" t="s">
        <v>5</v>
      </c>
    </row>
    <row r="10" spans="1:8" x14ac:dyDescent="0.55000000000000004">
      <c r="A10" s="9" t="s">
        <v>63</v>
      </c>
    </row>
    <row r="11" spans="1:8" x14ac:dyDescent="0.55000000000000004">
      <c r="A11" s="9" t="s">
        <v>43</v>
      </c>
    </row>
    <row r="12" spans="1:8" x14ac:dyDescent="0.55000000000000004">
      <c r="A12" s="9" t="s">
        <v>70</v>
      </c>
    </row>
    <row r="13" spans="1:8" x14ac:dyDescent="0.55000000000000004">
      <c r="A13" s="9" t="s">
        <v>47</v>
      </c>
    </row>
    <row r="14" spans="1:8" x14ac:dyDescent="0.55000000000000004">
      <c r="A14" s="9" t="s">
        <v>45</v>
      </c>
    </row>
    <row r="15" spans="1:8" x14ac:dyDescent="0.55000000000000004">
      <c r="A15" s="9" t="s">
        <v>44</v>
      </c>
    </row>
    <row r="16" spans="1:8" x14ac:dyDescent="0.55000000000000004">
      <c r="A16" s="9" t="s">
        <v>46</v>
      </c>
    </row>
    <row r="17" spans="1:1" x14ac:dyDescent="0.55000000000000004">
      <c r="A17" s="9" t="s">
        <v>75</v>
      </c>
    </row>
    <row r="18" spans="1:1" x14ac:dyDescent="0.55000000000000004">
      <c r="A18" s="11" t="s">
        <v>42</v>
      </c>
    </row>
    <row r="21" spans="1:1" ht="39" x14ac:dyDescent="1.3">
      <c r="A21" s="8" t="s">
        <v>67</v>
      </c>
    </row>
    <row r="22" spans="1:1" s="7" customFormat="1" ht="24" x14ac:dyDescent="0.8">
      <c r="A22" s="7" t="str">
        <f>'United Kingdom'!A2</f>
        <v>Current quota period: 01-Jan-2026 to 31-Mar-2026</v>
      </c>
    </row>
    <row r="23" spans="1:1" s="7" customFormat="1" ht="24" x14ac:dyDescent="0.8">
      <c r="A23" s="7" t="str">
        <f>'United Kingdom'!A3</f>
        <v>Latest available data: 19-Jan-2026</v>
      </c>
    </row>
    <row r="24" spans="1:1" x14ac:dyDescent="0.55000000000000004">
      <c r="A24" s="10" t="s">
        <v>5</v>
      </c>
    </row>
    <row r="25" spans="1:1" x14ac:dyDescent="0.55000000000000004">
      <c r="A25" s="9" t="s">
        <v>71</v>
      </c>
    </row>
    <row r="26" spans="1:1" x14ac:dyDescent="0.55000000000000004">
      <c r="A26" s="9" t="s">
        <v>59</v>
      </c>
    </row>
    <row r="27" spans="1:1" x14ac:dyDescent="0.55000000000000004">
      <c r="A27" s="9" t="s">
        <v>70</v>
      </c>
    </row>
    <row r="28" spans="1:1" x14ac:dyDescent="0.55000000000000004">
      <c r="A28" s="9" t="s">
        <v>47</v>
      </c>
    </row>
    <row r="29" spans="1:1" x14ac:dyDescent="0.55000000000000004">
      <c r="A29" s="9" t="s">
        <v>45</v>
      </c>
    </row>
    <row r="30" spans="1:1" x14ac:dyDescent="0.55000000000000004">
      <c r="A30" s="9" t="s">
        <v>60</v>
      </c>
    </row>
    <row r="31" spans="1:1" x14ac:dyDescent="0.55000000000000004">
      <c r="A31" s="9" t="s">
        <v>61</v>
      </c>
    </row>
    <row r="32" spans="1:1" x14ac:dyDescent="0.55000000000000004">
      <c r="A32" s="9" t="s">
        <v>64</v>
      </c>
    </row>
    <row r="33" spans="1:1" x14ac:dyDescent="0.55000000000000004">
      <c r="A33" s="11" t="s">
        <v>49</v>
      </c>
    </row>
    <row r="36" spans="1:1" ht="39" x14ac:dyDescent="1.3">
      <c r="A36" s="8" t="s">
        <v>4</v>
      </c>
    </row>
    <row r="37" spans="1:1" x14ac:dyDescent="0.55000000000000004">
      <c r="A37" s="9" t="s">
        <v>65</v>
      </c>
    </row>
    <row r="38" spans="1:1" x14ac:dyDescent="0.55000000000000004">
      <c r="A38" s="9" t="s">
        <v>72</v>
      </c>
    </row>
    <row r="39" spans="1:1" x14ac:dyDescent="0.55000000000000004">
      <c r="A39" s="9" t="s">
        <v>8</v>
      </c>
    </row>
    <row r="40" spans="1:1" x14ac:dyDescent="0.55000000000000004">
      <c r="A40" s="9" t="s">
        <v>7</v>
      </c>
    </row>
    <row r="41" spans="1:1" x14ac:dyDescent="0.55000000000000004">
      <c r="A41" s="9" t="s">
        <v>6</v>
      </c>
    </row>
  </sheetData>
  <sheetProtection sheet="1" selectLockedCells="1" selectUnlockedCells="1"/>
  <hyperlinks>
    <hyperlink ref="A18" r:id="rId1" xr:uid="{CE4B733A-8267-455D-8D30-EF18C837069E}"/>
    <hyperlink ref="A33" r:id="rId2" xr:uid="{BBA991DB-9ED0-4A9E-97D7-1AFF7F67F62F}"/>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5755B-B1DA-4C41-B8AC-7AFC3C5D71DF}">
  <dimension ref="A1:G204"/>
  <sheetViews>
    <sheetView zoomScale="80" zoomScaleNormal="80" workbookViewId="0">
      <selection activeCell="A15" sqref="A15"/>
    </sheetView>
  </sheetViews>
  <sheetFormatPr defaultColWidth="9.1796875" defaultRowHeight="16.5" x14ac:dyDescent="0.55000000000000004"/>
  <cols>
    <col min="1" max="1" width="64.1796875" style="1" customWidth="1"/>
    <col min="2" max="2" width="39.26953125" style="1" bestFit="1" customWidth="1"/>
    <col min="3" max="3" width="36.1796875" style="1" customWidth="1"/>
    <col min="4" max="7" width="35.7265625" style="1" customWidth="1"/>
    <col min="8" max="16384" width="9.1796875" style="1"/>
  </cols>
  <sheetData>
    <row r="1" spans="1:7" ht="54.75" customHeight="1" x14ac:dyDescent="1.35">
      <c r="A1" s="25" t="s">
        <v>10</v>
      </c>
      <c r="B1" s="4"/>
      <c r="C1" s="5"/>
      <c r="D1" s="5"/>
      <c r="E1" s="5"/>
      <c r="F1" s="6"/>
      <c r="G1" s="5"/>
    </row>
    <row r="2" spans="1:7" ht="20.149999999999999" customHeight="1" x14ac:dyDescent="0.8">
      <c r="A2" s="7" t="s">
        <v>125</v>
      </c>
      <c r="B2" s="7"/>
      <c r="C2" s="5"/>
      <c r="D2" s="5"/>
      <c r="E2" s="5"/>
      <c r="F2" s="5"/>
      <c r="G2" s="5"/>
    </row>
    <row r="3" spans="1:7" ht="20.149999999999999" customHeight="1" x14ac:dyDescent="0.8">
      <c r="A3" s="7" t="s">
        <v>127</v>
      </c>
      <c r="B3" s="7"/>
      <c r="C3" s="5"/>
      <c r="D3" s="5"/>
      <c r="E3" s="5"/>
      <c r="F3" s="5"/>
      <c r="G3" s="5"/>
    </row>
    <row r="4" spans="1:7" ht="20.149999999999999" customHeight="1" x14ac:dyDescent="0.8">
      <c r="A4" s="6"/>
      <c r="B4" s="7"/>
      <c r="C4" s="5"/>
      <c r="D4" s="5"/>
      <c r="E4" s="5"/>
      <c r="F4" s="5"/>
      <c r="G4" s="5"/>
    </row>
    <row r="5" spans="1:7" ht="24.75" customHeight="1" x14ac:dyDescent="0.55000000000000004">
      <c r="D5" s="26" t="s">
        <v>123</v>
      </c>
      <c r="E5" s="26"/>
      <c r="F5" s="26"/>
      <c r="G5" s="26"/>
    </row>
    <row r="6" spans="1:7" ht="24.75" customHeight="1" x14ac:dyDescent="0.55000000000000004">
      <c r="D6" s="26"/>
      <c r="E6" s="26"/>
      <c r="F6" s="26"/>
      <c r="G6" s="26"/>
    </row>
    <row r="7" spans="1:7" ht="24.75" customHeight="1" x14ac:dyDescent="0.55000000000000004">
      <c r="D7" s="26"/>
      <c r="E7" s="26"/>
      <c r="F7" s="26"/>
      <c r="G7" s="26"/>
    </row>
    <row r="8" spans="1:7" ht="24.75" customHeight="1" x14ac:dyDescent="0.55000000000000004">
      <c r="D8" s="26"/>
      <c r="E8" s="26"/>
      <c r="F8" s="26"/>
      <c r="G8" s="26"/>
    </row>
    <row r="9" spans="1:7" ht="24.75" customHeight="1" x14ac:dyDescent="0.55000000000000004">
      <c r="D9" s="26"/>
      <c r="E9" s="26"/>
      <c r="F9" s="26"/>
      <c r="G9" s="26"/>
    </row>
    <row r="10" spans="1:7" ht="24.75" customHeight="1" x14ac:dyDescent="0.55000000000000004">
      <c r="D10" s="26"/>
      <c r="E10" s="26"/>
      <c r="F10" s="26"/>
      <c r="G10" s="26"/>
    </row>
    <row r="11" spans="1:7" ht="24.75" customHeight="1" x14ac:dyDescent="0.55000000000000004">
      <c r="D11" s="26"/>
      <c r="E11" s="26"/>
      <c r="F11" s="26"/>
      <c r="G11" s="26"/>
    </row>
    <row r="12" spans="1:7" ht="24.75" customHeight="1" x14ac:dyDescent="0.55000000000000004">
      <c r="D12" s="26"/>
      <c r="E12" s="26"/>
      <c r="F12" s="26"/>
      <c r="G12" s="26"/>
    </row>
    <row r="13" spans="1:7" ht="24.75" customHeight="1" x14ac:dyDescent="0.55000000000000004">
      <c r="D13" s="26"/>
      <c r="E13" s="26"/>
      <c r="F13" s="26"/>
      <c r="G13" s="26"/>
    </row>
    <row r="14" spans="1:7" ht="24.75" customHeight="1" x14ac:dyDescent="0.55000000000000004">
      <c r="D14" s="26"/>
      <c r="E14" s="26"/>
      <c r="F14" s="26"/>
      <c r="G14" s="26"/>
    </row>
    <row r="15" spans="1:7" ht="50.25" customHeight="1" x14ac:dyDescent="0.55000000000000004">
      <c r="A15" s="19" t="s">
        <v>0</v>
      </c>
      <c r="B15" s="19" t="s">
        <v>9</v>
      </c>
      <c r="C15" s="20" t="s">
        <v>50</v>
      </c>
      <c r="D15" s="20" t="s">
        <v>68</v>
      </c>
      <c r="E15" s="20" t="s">
        <v>3</v>
      </c>
      <c r="F15" s="20" t="s">
        <v>1</v>
      </c>
      <c r="G15" s="20" t="s">
        <v>2</v>
      </c>
    </row>
    <row r="16" spans="1:7" ht="17.5" x14ac:dyDescent="0.55000000000000004">
      <c r="A16" s="21" t="s">
        <v>109</v>
      </c>
      <c r="B16" s="21" t="s">
        <v>76</v>
      </c>
      <c r="C16" s="16">
        <v>393977.8</v>
      </c>
      <c r="D16" s="22">
        <v>336661.52836200001</v>
      </c>
      <c r="E16" s="15">
        <v>0.85451903219419978</v>
      </c>
      <c r="F16" s="22">
        <v>57316.271637999998</v>
      </c>
      <c r="G16" s="15">
        <v>0.14548096780580022</v>
      </c>
    </row>
    <row r="17" spans="1:7" ht="17.5" x14ac:dyDescent="0.55000000000000004">
      <c r="A17" s="21" t="s">
        <v>109</v>
      </c>
      <c r="B17" s="21" t="s">
        <v>12</v>
      </c>
      <c r="C17" s="16">
        <v>222829.89</v>
      </c>
      <c r="D17" s="22">
        <v>222829.89</v>
      </c>
      <c r="E17" s="15">
        <v>1</v>
      </c>
      <c r="F17" s="22">
        <v>0</v>
      </c>
      <c r="G17" s="15">
        <v>0</v>
      </c>
    </row>
    <row r="18" spans="1:7" ht="17.5" x14ac:dyDescent="0.55000000000000004">
      <c r="A18" s="21" t="s">
        <v>109</v>
      </c>
      <c r="B18" s="21" t="s">
        <v>13</v>
      </c>
      <c r="C18" s="16">
        <v>159532.53</v>
      </c>
      <c r="D18" s="22">
        <v>53676.565455000004</v>
      </c>
      <c r="E18" s="15">
        <v>0.33646156965604446</v>
      </c>
      <c r="F18" s="22">
        <v>105855.964545</v>
      </c>
      <c r="G18" s="15">
        <v>0.66353843034395554</v>
      </c>
    </row>
    <row r="19" spans="1:7" ht="17.5" x14ac:dyDescent="0.55000000000000004">
      <c r="A19" s="21" t="s">
        <v>109</v>
      </c>
      <c r="B19" s="21" t="s">
        <v>14</v>
      </c>
      <c r="C19" s="16">
        <v>137879.26</v>
      </c>
      <c r="D19" s="22">
        <v>2274.0074000000313</v>
      </c>
      <c r="E19" s="15">
        <v>1.649274444902038E-2</v>
      </c>
      <c r="F19" s="22">
        <v>135605.25259999998</v>
      </c>
      <c r="G19" s="15">
        <v>0.98350725555097962</v>
      </c>
    </row>
    <row r="20" spans="1:7" ht="17.5" x14ac:dyDescent="0.55000000000000004">
      <c r="A20" s="21" t="s">
        <v>109</v>
      </c>
      <c r="B20" s="21" t="s">
        <v>90</v>
      </c>
      <c r="C20" s="16">
        <v>140955.20000000001</v>
      </c>
      <c r="D20" s="22">
        <v>9904.1880000000237</v>
      </c>
      <c r="E20" s="15">
        <v>7.0264793352781796E-2</v>
      </c>
      <c r="F20" s="22">
        <v>131051.01199999999</v>
      </c>
      <c r="G20" s="15">
        <v>0.9297352066472182</v>
      </c>
    </row>
    <row r="21" spans="1:7" ht="17.5" x14ac:dyDescent="0.55000000000000004">
      <c r="A21" s="21" t="s">
        <v>109</v>
      </c>
      <c r="B21" s="21" t="s">
        <v>15</v>
      </c>
      <c r="C21" s="16">
        <v>848202.07</v>
      </c>
      <c r="D21" s="22">
        <v>145791.88690799999</v>
      </c>
      <c r="E21" s="15">
        <v>0.17188343681830442</v>
      </c>
      <c r="F21" s="22">
        <v>702410.18309199996</v>
      </c>
      <c r="G21" s="15">
        <v>0.82811656318169558</v>
      </c>
    </row>
    <row r="22" spans="1:7" ht="17.5" x14ac:dyDescent="0.55000000000000004">
      <c r="A22" s="21" t="s">
        <v>109</v>
      </c>
      <c r="B22" s="21" t="s">
        <v>78</v>
      </c>
      <c r="C22" s="16">
        <v>110266.269</v>
      </c>
      <c r="D22" s="22">
        <v>15.100000000005821</v>
      </c>
      <c r="E22" s="15">
        <v>1.3694124356389281E-4</v>
      </c>
      <c r="F22" s="22">
        <v>110251.16899999999</v>
      </c>
      <c r="G22" s="15">
        <v>0.99986305875643611</v>
      </c>
    </row>
    <row r="23" spans="1:7" ht="17.5" x14ac:dyDescent="0.55000000000000004">
      <c r="A23" s="21" t="s">
        <v>109</v>
      </c>
      <c r="B23" s="21" t="s">
        <v>91</v>
      </c>
      <c r="C23" s="16">
        <v>110266.269</v>
      </c>
      <c r="D23" s="22">
        <v>34385.146999999997</v>
      </c>
      <c r="E23" s="15">
        <v>0.31183740333138499</v>
      </c>
      <c r="F23" s="22">
        <v>75881.122000000003</v>
      </c>
      <c r="G23" s="15">
        <v>0.68816259666861501</v>
      </c>
    </row>
    <row r="24" spans="1:7" ht="17.5" x14ac:dyDescent="0.55000000000000004">
      <c r="A24" s="21" t="s">
        <v>109</v>
      </c>
      <c r="B24" s="21" t="s">
        <v>79</v>
      </c>
      <c r="C24" s="16">
        <v>110266.269</v>
      </c>
      <c r="D24" s="22">
        <v>0</v>
      </c>
      <c r="E24" s="15">
        <v>0</v>
      </c>
      <c r="F24" s="22">
        <v>110266.269</v>
      </c>
      <c r="G24" s="15">
        <v>1</v>
      </c>
    </row>
    <row r="25" spans="1:7" ht="17.5" x14ac:dyDescent="0.55000000000000004">
      <c r="A25" s="21" t="s">
        <v>109</v>
      </c>
      <c r="B25" s="21" t="s">
        <v>92</v>
      </c>
      <c r="C25" s="16">
        <v>110266.269</v>
      </c>
      <c r="D25" s="22">
        <v>81332.223448000004</v>
      </c>
      <c r="E25" s="15">
        <v>0.73759839872699429</v>
      </c>
      <c r="F25" s="22">
        <v>28934.045552</v>
      </c>
      <c r="G25" s="15">
        <v>0.26240160127300577</v>
      </c>
    </row>
    <row r="26" spans="1:7" ht="17.5" x14ac:dyDescent="0.55000000000000004">
      <c r="A26" s="21" t="s">
        <v>109</v>
      </c>
      <c r="B26" s="21" t="s">
        <v>93</v>
      </c>
      <c r="C26" s="16">
        <v>110266.269</v>
      </c>
      <c r="D26" s="22">
        <v>0</v>
      </c>
      <c r="E26" s="15">
        <v>0</v>
      </c>
      <c r="F26" s="22">
        <v>110266.269</v>
      </c>
      <c r="G26" s="15">
        <v>1</v>
      </c>
    </row>
    <row r="27" spans="1:7" ht="17.5" x14ac:dyDescent="0.55000000000000004">
      <c r="A27" s="21" t="s">
        <v>109</v>
      </c>
      <c r="B27" s="21" t="s">
        <v>94</v>
      </c>
      <c r="C27" s="16">
        <v>110266.269</v>
      </c>
      <c r="D27" s="22">
        <v>23.105999999999767</v>
      </c>
      <c r="E27" s="15">
        <v>2.0954730952216227E-4</v>
      </c>
      <c r="F27" s="22">
        <v>110243.163</v>
      </c>
      <c r="G27" s="15">
        <v>0.99979045269047784</v>
      </c>
    </row>
    <row r="28" spans="1:7" ht="17.5" x14ac:dyDescent="0.55000000000000004">
      <c r="A28" s="21" t="s">
        <v>109</v>
      </c>
      <c r="B28" s="21" t="s">
        <v>95</v>
      </c>
      <c r="C28" s="16">
        <v>110266.269</v>
      </c>
      <c r="D28" s="22">
        <v>0.69445999998424668</v>
      </c>
      <c r="E28" s="15">
        <v>6.2980275499224803E-6</v>
      </c>
      <c r="F28" s="22">
        <v>110265.57454000002</v>
      </c>
      <c r="G28" s="15">
        <v>0.99999370197245008</v>
      </c>
    </row>
    <row r="29" spans="1:7" ht="17.5" x14ac:dyDescent="0.55000000000000004">
      <c r="A29" s="21" t="s">
        <v>109</v>
      </c>
      <c r="B29" s="21" t="s">
        <v>96</v>
      </c>
      <c r="C29" s="16">
        <v>110266.269</v>
      </c>
      <c r="D29" s="22">
        <v>0</v>
      </c>
      <c r="E29" s="15">
        <v>0</v>
      </c>
      <c r="F29" s="22">
        <v>110266.269</v>
      </c>
      <c r="G29" s="15">
        <v>1</v>
      </c>
    </row>
    <row r="30" spans="1:7" ht="17.5" x14ac:dyDescent="0.55000000000000004">
      <c r="A30" s="21" t="s">
        <v>109</v>
      </c>
      <c r="B30" s="21" t="s">
        <v>97</v>
      </c>
      <c r="C30" s="16">
        <v>110266.269</v>
      </c>
      <c r="D30" s="22">
        <v>0</v>
      </c>
      <c r="E30" s="15">
        <v>0</v>
      </c>
      <c r="F30" s="22">
        <v>110266.269</v>
      </c>
      <c r="G30" s="15">
        <v>1</v>
      </c>
    </row>
    <row r="31" spans="1:7" ht="17.5" x14ac:dyDescent="0.55000000000000004">
      <c r="A31" s="21" t="s">
        <v>109</v>
      </c>
      <c r="B31" s="21" t="s">
        <v>81</v>
      </c>
      <c r="C31" s="16">
        <v>110266.269</v>
      </c>
      <c r="D31" s="22">
        <v>30000.305999999997</v>
      </c>
      <c r="E31" s="15">
        <v>0.2720714709228077</v>
      </c>
      <c r="F31" s="22">
        <v>80265.963000000003</v>
      </c>
      <c r="G31" s="15">
        <v>0.7279285290771923</v>
      </c>
    </row>
    <row r="32" spans="1:7" ht="17.5" x14ac:dyDescent="0.55000000000000004">
      <c r="A32" s="21" t="s">
        <v>110</v>
      </c>
      <c r="B32" s="21" t="s">
        <v>28</v>
      </c>
      <c r="C32" s="16">
        <v>667.68</v>
      </c>
      <c r="D32" s="22">
        <v>92.180999999999926</v>
      </c>
      <c r="E32" s="15">
        <v>0.13806164629762752</v>
      </c>
      <c r="F32" s="22">
        <v>575.49900000000002</v>
      </c>
      <c r="G32" s="15">
        <v>0.86193835370237248</v>
      </c>
    </row>
    <row r="33" spans="1:7" ht="17.5" x14ac:dyDescent="0.55000000000000004">
      <c r="A33" s="21" t="s">
        <v>110</v>
      </c>
      <c r="B33" s="21" t="s">
        <v>19</v>
      </c>
      <c r="C33" s="16">
        <v>548.16999999999996</v>
      </c>
      <c r="D33" s="22">
        <v>54.379999999999995</v>
      </c>
      <c r="E33" s="15">
        <v>9.9202802050458838E-2</v>
      </c>
      <c r="F33" s="22">
        <v>493.78999999999996</v>
      </c>
      <c r="G33" s="15">
        <v>0.90079719794954116</v>
      </c>
    </row>
    <row r="34" spans="1:7" ht="17.5" x14ac:dyDescent="0.55000000000000004">
      <c r="A34" s="21" t="s">
        <v>110</v>
      </c>
      <c r="B34" s="21" t="s">
        <v>14</v>
      </c>
      <c r="C34" s="16">
        <v>251.38</v>
      </c>
      <c r="D34" s="22">
        <v>140.96799999999999</v>
      </c>
      <c r="E34" s="15">
        <v>0.5607765136446814</v>
      </c>
      <c r="F34" s="22">
        <v>110.41200000000001</v>
      </c>
      <c r="G34" s="15">
        <v>0.43922348635531866</v>
      </c>
    </row>
    <row r="35" spans="1:7" ht="17.5" x14ac:dyDescent="0.55000000000000004">
      <c r="A35" s="21" t="s">
        <v>110</v>
      </c>
      <c r="B35" s="21" t="s">
        <v>15</v>
      </c>
      <c r="C35" s="16">
        <v>251.33</v>
      </c>
      <c r="D35" s="22">
        <v>34.600000000000023</v>
      </c>
      <c r="E35" s="15">
        <v>0.13766760832371794</v>
      </c>
      <c r="F35" s="22">
        <v>216.73</v>
      </c>
      <c r="G35" s="15">
        <v>0.86233239167628206</v>
      </c>
    </row>
    <row r="36" spans="1:7" ht="17.5" x14ac:dyDescent="0.55000000000000004">
      <c r="A36" s="21" t="s">
        <v>98</v>
      </c>
      <c r="B36" s="21" t="s">
        <v>12</v>
      </c>
      <c r="C36" s="16">
        <v>161463.15</v>
      </c>
      <c r="D36" s="22">
        <v>31666.107299999989</v>
      </c>
      <c r="E36" s="15">
        <v>0.19611971709953624</v>
      </c>
      <c r="F36" s="22">
        <v>129797.04270000001</v>
      </c>
      <c r="G36" s="15">
        <v>0.80388028290046376</v>
      </c>
    </row>
    <row r="37" spans="1:7" ht="17.5" x14ac:dyDescent="0.55000000000000004">
      <c r="A37" s="21" t="s">
        <v>98</v>
      </c>
      <c r="B37" s="21" t="s">
        <v>13</v>
      </c>
      <c r="C37" s="16">
        <v>93645.39</v>
      </c>
      <c r="D37" s="22">
        <v>23515.575981000002</v>
      </c>
      <c r="E37" s="15">
        <v>0.25111301240776507</v>
      </c>
      <c r="F37" s="22">
        <v>70129.814018999998</v>
      </c>
      <c r="G37" s="15">
        <v>0.74888698759223493</v>
      </c>
    </row>
    <row r="38" spans="1:7" ht="17.5" x14ac:dyDescent="0.55000000000000004">
      <c r="A38" s="21" t="s">
        <v>98</v>
      </c>
      <c r="B38" s="21" t="s">
        <v>14</v>
      </c>
      <c r="C38" s="16">
        <v>86548.87</v>
      </c>
      <c r="D38" s="22">
        <v>67.58969999999681</v>
      </c>
      <c r="E38" s="15">
        <v>7.8094260502759028E-4</v>
      </c>
      <c r="F38" s="22">
        <v>86481.280299999999</v>
      </c>
      <c r="G38" s="15">
        <v>0.99921905739497241</v>
      </c>
    </row>
    <row r="39" spans="1:7" ht="17.5" x14ac:dyDescent="0.55000000000000004">
      <c r="A39" s="21" t="s">
        <v>98</v>
      </c>
      <c r="B39" s="21" t="s">
        <v>90</v>
      </c>
      <c r="C39" s="16">
        <v>40764.89</v>
      </c>
      <c r="D39" s="22">
        <v>1125.862000000001</v>
      </c>
      <c r="E39" s="15">
        <v>2.7618423599327757E-2</v>
      </c>
      <c r="F39" s="22">
        <v>39639.027999999998</v>
      </c>
      <c r="G39" s="15">
        <v>0.97238157640067224</v>
      </c>
    </row>
    <row r="40" spans="1:7" ht="17.5" x14ac:dyDescent="0.55000000000000004">
      <c r="A40" s="21" t="s">
        <v>98</v>
      </c>
      <c r="B40" s="21" t="s">
        <v>15</v>
      </c>
      <c r="C40" s="16">
        <v>331026.28000000003</v>
      </c>
      <c r="D40" s="22">
        <v>137351.15251000001</v>
      </c>
      <c r="E40" s="15">
        <v>0.41492522137517296</v>
      </c>
      <c r="F40" s="22">
        <v>193675.12749000001</v>
      </c>
      <c r="G40" s="15">
        <v>0.58507477862482704</v>
      </c>
    </row>
    <row r="41" spans="1:7" ht="17.5" x14ac:dyDescent="0.55000000000000004">
      <c r="A41" s="21" t="s">
        <v>98</v>
      </c>
      <c r="B41" s="21" t="s">
        <v>111</v>
      </c>
      <c r="C41" s="16">
        <v>43033.415999999997</v>
      </c>
      <c r="D41" s="22">
        <v>42810.855799999998</v>
      </c>
      <c r="E41" s="15">
        <v>0.99482820048494403</v>
      </c>
      <c r="F41" s="22">
        <v>222.56020000000004</v>
      </c>
      <c r="G41" s="15">
        <v>5.1717995150559288E-3</v>
      </c>
    </row>
    <row r="42" spans="1:7" ht="17.5" x14ac:dyDescent="0.55000000000000004">
      <c r="A42" s="21" t="s">
        <v>98</v>
      </c>
      <c r="B42" s="21" t="s">
        <v>91</v>
      </c>
      <c r="C42" s="16">
        <v>43033.415999999997</v>
      </c>
      <c r="D42" s="22">
        <v>42005.38</v>
      </c>
      <c r="E42" s="15">
        <v>0.97611075077098231</v>
      </c>
      <c r="F42" s="22">
        <v>1028.0360000000001</v>
      </c>
      <c r="G42" s="15">
        <v>2.388924922901775E-2</v>
      </c>
    </row>
    <row r="43" spans="1:7" ht="17.5" x14ac:dyDescent="0.55000000000000004">
      <c r="A43" s="21" t="s">
        <v>98</v>
      </c>
      <c r="B43" s="21" t="s">
        <v>92</v>
      </c>
      <c r="C43" s="16">
        <v>43033.415999999997</v>
      </c>
      <c r="D43" s="22">
        <v>43033.415999999997</v>
      </c>
      <c r="E43" s="15">
        <v>1</v>
      </c>
      <c r="F43" s="22">
        <v>0</v>
      </c>
      <c r="G43" s="15">
        <v>0</v>
      </c>
    </row>
    <row r="44" spans="1:7" ht="17.5" x14ac:dyDescent="0.55000000000000004">
      <c r="A44" s="21" t="s">
        <v>98</v>
      </c>
      <c r="B44" s="21" t="s">
        <v>79</v>
      </c>
      <c r="C44" s="16">
        <v>43033.415999999997</v>
      </c>
      <c r="D44" s="22">
        <v>9377.2692299999981</v>
      </c>
      <c r="E44" s="15">
        <v>0.21790668976871364</v>
      </c>
      <c r="F44" s="22">
        <v>33656.146769999999</v>
      </c>
      <c r="G44" s="15">
        <v>0.78209331023128636</v>
      </c>
    </row>
    <row r="45" spans="1:7" ht="17.5" x14ac:dyDescent="0.55000000000000004">
      <c r="A45" s="21" t="s">
        <v>112</v>
      </c>
      <c r="B45" s="21" t="s">
        <v>14</v>
      </c>
      <c r="C45" s="16">
        <v>547.82000000000005</v>
      </c>
      <c r="D45" s="22">
        <v>0</v>
      </c>
      <c r="E45" s="15">
        <v>0</v>
      </c>
      <c r="F45" s="22">
        <v>547.82000000000005</v>
      </c>
      <c r="G45" s="15">
        <v>1</v>
      </c>
    </row>
    <row r="46" spans="1:7" ht="17.5" x14ac:dyDescent="0.55000000000000004">
      <c r="A46" s="21" t="s">
        <v>112</v>
      </c>
      <c r="B46" s="21" t="s">
        <v>99</v>
      </c>
      <c r="C46" s="16">
        <v>164.29</v>
      </c>
      <c r="D46" s="22">
        <v>0</v>
      </c>
      <c r="E46" s="15">
        <v>0</v>
      </c>
      <c r="F46" s="22">
        <v>164.29</v>
      </c>
      <c r="G46" s="15">
        <v>1</v>
      </c>
    </row>
    <row r="47" spans="1:7" ht="17.5" x14ac:dyDescent="0.55000000000000004">
      <c r="A47" s="21" t="s">
        <v>112</v>
      </c>
      <c r="B47" s="21" t="s">
        <v>13</v>
      </c>
      <c r="C47" s="16">
        <v>251.6</v>
      </c>
      <c r="D47" s="22">
        <v>0</v>
      </c>
      <c r="E47" s="15">
        <v>0</v>
      </c>
      <c r="F47" s="22">
        <v>251.6</v>
      </c>
      <c r="G47" s="15">
        <v>1</v>
      </c>
    </row>
    <row r="48" spans="1:7" ht="17.5" x14ac:dyDescent="0.55000000000000004">
      <c r="A48" s="21" t="s">
        <v>112</v>
      </c>
      <c r="B48" s="21" t="s">
        <v>15</v>
      </c>
      <c r="C48" s="16">
        <v>841.03</v>
      </c>
      <c r="D48" s="22">
        <v>0</v>
      </c>
      <c r="E48" s="15">
        <v>0</v>
      </c>
      <c r="F48" s="22">
        <v>841.03</v>
      </c>
      <c r="G48" s="15">
        <v>1</v>
      </c>
    </row>
    <row r="49" spans="1:7" ht="17.5" x14ac:dyDescent="0.55000000000000004">
      <c r="A49" s="21" t="s">
        <v>113</v>
      </c>
      <c r="B49" s="21" t="s">
        <v>13</v>
      </c>
      <c r="C49" s="16">
        <v>34828.370000000003</v>
      </c>
      <c r="D49" s="22">
        <v>3606.5700000000033</v>
      </c>
      <c r="E49" s="15">
        <v>0.10355264975076361</v>
      </c>
      <c r="F49" s="22">
        <v>31221.8</v>
      </c>
      <c r="G49" s="15">
        <v>0.89644735024923639</v>
      </c>
    </row>
    <row r="50" spans="1:7" ht="17.5" x14ac:dyDescent="0.55000000000000004">
      <c r="A50" s="21" t="s">
        <v>113</v>
      </c>
      <c r="B50" s="21" t="s">
        <v>16</v>
      </c>
      <c r="C50" s="16">
        <v>30628.71</v>
      </c>
      <c r="D50" s="22">
        <v>21966.16013</v>
      </c>
      <c r="E50" s="15">
        <v>0.71717549090379584</v>
      </c>
      <c r="F50" s="22">
        <v>8662.5498699999989</v>
      </c>
      <c r="G50" s="15">
        <v>0.28282450909620416</v>
      </c>
    </row>
    <row r="51" spans="1:7" ht="17.5" x14ac:dyDescent="0.55000000000000004">
      <c r="A51" s="21" t="s">
        <v>113</v>
      </c>
      <c r="B51" s="21" t="s">
        <v>17</v>
      </c>
      <c r="C51" s="16">
        <v>23954.77</v>
      </c>
      <c r="D51" s="22">
        <v>0</v>
      </c>
      <c r="E51" s="15">
        <v>0</v>
      </c>
      <c r="F51" s="22">
        <v>23954.77</v>
      </c>
      <c r="G51" s="15">
        <v>1</v>
      </c>
    </row>
    <row r="52" spans="1:7" ht="17.5" x14ac:dyDescent="0.55000000000000004">
      <c r="A52" s="21" t="s">
        <v>113</v>
      </c>
      <c r="B52" s="21" t="s">
        <v>15</v>
      </c>
      <c r="C52" s="16">
        <v>8541.43</v>
      </c>
      <c r="D52" s="22">
        <v>0</v>
      </c>
      <c r="E52" s="15">
        <v>0</v>
      </c>
      <c r="F52" s="22">
        <v>8541.43</v>
      </c>
      <c r="G52" s="15">
        <v>1</v>
      </c>
    </row>
    <row r="53" spans="1:7" ht="17.5" x14ac:dyDescent="0.55000000000000004">
      <c r="A53" s="21" t="s">
        <v>113</v>
      </c>
      <c r="B53" s="21" t="s">
        <v>79</v>
      </c>
      <c r="C53" s="16">
        <v>2562.4290000000001</v>
      </c>
      <c r="D53" s="22">
        <v>0</v>
      </c>
      <c r="E53" s="15">
        <v>0</v>
      </c>
      <c r="F53" s="22">
        <v>2562.4290000000001</v>
      </c>
      <c r="G53" s="15">
        <v>1</v>
      </c>
    </row>
    <row r="54" spans="1:7" ht="17.5" x14ac:dyDescent="0.55000000000000004">
      <c r="A54" s="21" t="s">
        <v>106</v>
      </c>
      <c r="B54" s="21" t="s">
        <v>13</v>
      </c>
      <c r="C54" s="16">
        <v>37148.01</v>
      </c>
      <c r="D54" s="22">
        <v>15079.571000000004</v>
      </c>
      <c r="E54" s="15">
        <v>0.40593213472269452</v>
      </c>
      <c r="F54" s="22">
        <v>22068.438999999998</v>
      </c>
      <c r="G54" s="15">
        <v>0.59406786527730548</v>
      </c>
    </row>
    <row r="55" spans="1:7" ht="17.5" x14ac:dyDescent="0.55000000000000004">
      <c r="A55" s="21" t="s">
        <v>106</v>
      </c>
      <c r="B55" s="21" t="s">
        <v>12</v>
      </c>
      <c r="C55" s="16">
        <v>53099.97</v>
      </c>
      <c r="D55" s="22">
        <v>3932.1293900000019</v>
      </c>
      <c r="E55" s="15">
        <v>7.4051442778592991E-2</v>
      </c>
      <c r="F55" s="22">
        <v>49167.840609999999</v>
      </c>
      <c r="G55" s="15">
        <v>0.92594855722140701</v>
      </c>
    </row>
    <row r="56" spans="1:7" ht="17.5" x14ac:dyDescent="0.55000000000000004">
      <c r="A56" s="21" t="s">
        <v>106</v>
      </c>
      <c r="B56" s="21" t="s">
        <v>14</v>
      </c>
      <c r="C56" s="16">
        <v>35001.31</v>
      </c>
      <c r="D56" s="22">
        <v>11038.254789999999</v>
      </c>
      <c r="E56" s="15">
        <v>0.31536690455300098</v>
      </c>
      <c r="F56" s="22">
        <v>23963.055209999999</v>
      </c>
      <c r="G56" s="15">
        <v>0.68463309544699902</v>
      </c>
    </row>
    <row r="57" spans="1:7" ht="17.5" x14ac:dyDescent="0.55000000000000004">
      <c r="A57" s="21" t="s">
        <v>106</v>
      </c>
      <c r="B57" s="21" t="s">
        <v>15</v>
      </c>
      <c r="C57" s="16">
        <v>467329.31</v>
      </c>
      <c r="D57" s="22">
        <v>334106.45476200001</v>
      </c>
      <c r="E57" s="15">
        <v>0.71492724212397452</v>
      </c>
      <c r="F57" s="22">
        <v>133222.85523800002</v>
      </c>
      <c r="G57" s="15">
        <v>0.28507275787602543</v>
      </c>
    </row>
    <row r="58" spans="1:7" ht="17.5" x14ac:dyDescent="0.55000000000000004">
      <c r="A58" s="21" t="s">
        <v>106</v>
      </c>
      <c r="B58" s="21" t="s">
        <v>111</v>
      </c>
      <c r="C58" s="16">
        <v>116832.32799999999</v>
      </c>
      <c r="D58" s="22">
        <v>117257.318</v>
      </c>
      <c r="E58" s="15">
        <v>1.0036376061940664</v>
      </c>
      <c r="F58" s="22">
        <v>-424.99</v>
      </c>
      <c r="G58" s="15">
        <v>-3.6376061940664233E-3</v>
      </c>
    </row>
    <row r="59" spans="1:7" ht="17.5" x14ac:dyDescent="0.55000000000000004">
      <c r="A59" s="21" t="s">
        <v>106</v>
      </c>
      <c r="B59" s="21" t="s">
        <v>91</v>
      </c>
      <c r="C59" s="16">
        <v>116832.32799999999</v>
      </c>
      <c r="D59" s="22">
        <v>116994.870077</v>
      </c>
      <c r="E59" s="15">
        <v>1.0013912423023874</v>
      </c>
      <c r="F59" s="22">
        <v>-162.54207700000001</v>
      </c>
      <c r="G59" s="15">
        <v>-1.3912423023874009E-3</v>
      </c>
    </row>
    <row r="60" spans="1:7" ht="17.5" x14ac:dyDescent="0.55000000000000004">
      <c r="A60" s="21" t="s">
        <v>106</v>
      </c>
      <c r="B60" s="21" t="s">
        <v>92</v>
      </c>
      <c r="C60" s="16">
        <v>116832.32799999999</v>
      </c>
      <c r="D60" s="22">
        <v>96690.719924999998</v>
      </c>
      <c r="E60" s="15">
        <v>0.82760244172315045</v>
      </c>
      <c r="F60" s="22">
        <v>20141.608075</v>
      </c>
      <c r="G60" s="15">
        <v>0.17239755827684955</v>
      </c>
    </row>
    <row r="61" spans="1:7" ht="17.5" x14ac:dyDescent="0.55000000000000004">
      <c r="A61" s="21" t="s">
        <v>106</v>
      </c>
      <c r="B61" s="21" t="s">
        <v>122</v>
      </c>
      <c r="C61" s="16">
        <v>116832.32799999999</v>
      </c>
      <c r="D61" s="22">
        <v>0</v>
      </c>
      <c r="E61" s="15">
        <v>0</v>
      </c>
      <c r="F61" s="22">
        <v>116832.32799999999</v>
      </c>
      <c r="G61" s="15">
        <v>1</v>
      </c>
    </row>
    <row r="62" spans="1:7" ht="17.5" x14ac:dyDescent="0.55000000000000004">
      <c r="A62" s="21" t="s">
        <v>107</v>
      </c>
      <c r="B62" s="21" t="s">
        <v>16</v>
      </c>
      <c r="C62" s="16">
        <v>126937.91</v>
      </c>
      <c r="D62" s="22">
        <v>126937.91</v>
      </c>
      <c r="E62" s="15">
        <v>1</v>
      </c>
      <c r="F62" s="22">
        <v>0</v>
      </c>
      <c r="G62" s="15">
        <v>0</v>
      </c>
    </row>
    <row r="63" spans="1:7" ht="17.5" x14ac:dyDescent="0.55000000000000004">
      <c r="A63" s="21" t="s">
        <v>107</v>
      </c>
      <c r="B63" s="21" t="s">
        <v>13</v>
      </c>
      <c r="C63" s="16">
        <v>164743.35999999999</v>
      </c>
      <c r="D63" s="22">
        <v>89726.143850999986</v>
      </c>
      <c r="E63" s="15">
        <v>0.54464194399701449</v>
      </c>
      <c r="F63" s="22">
        <v>75017.216149</v>
      </c>
      <c r="G63" s="15">
        <v>0.45535805600298551</v>
      </c>
    </row>
    <row r="64" spans="1:7" ht="17.5" x14ac:dyDescent="0.55000000000000004">
      <c r="A64" s="21" t="s">
        <v>107</v>
      </c>
      <c r="B64" s="21" t="s">
        <v>12</v>
      </c>
      <c r="C64" s="16">
        <v>75816.509999999995</v>
      </c>
      <c r="D64" s="22">
        <v>1499.7647999999899</v>
      </c>
      <c r="E64" s="15">
        <v>1.9781506692935213E-2</v>
      </c>
      <c r="F64" s="22">
        <v>74316.745200000005</v>
      </c>
      <c r="G64" s="15">
        <v>0.98021849330706479</v>
      </c>
    </row>
    <row r="65" spans="1:7" ht="17.5" x14ac:dyDescent="0.55000000000000004">
      <c r="A65" s="21" t="s">
        <v>107</v>
      </c>
      <c r="B65" s="21" t="s">
        <v>14</v>
      </c>
      <c r="C65" s="16">
        <v>35001.31</v>
      </c>
      <c r="D65" s="22">
        <v>2044.690373999998</v>
      </c>
      <c r="E65" s="15">
        <v>5.841753848641662E-2</v>
      </c>
      <c r="F65" s="22">
        <v>32956.619626</v>
      </c>
      <c r="G65" s="15">
        <v>0.94158246151358338</v>
      </c>
    </row>
    <row r="66" spans="1:7" ht="17.5" x14ac:dyDescent="0.55000000000000004">
      <c r="A66" s="21" t="s">
        <v>107</v>
      </c>
      <c r="B66" s="21" t="s">
        <v>15</v>
      </c>
      <c r="C66" s="16">
        <v>103731.61</v>
      </c>
      <c r="D66" s="22">
        <v>97751.717566000007</v>
      </c>
      <c r="E66" s="15">
        <v>0.94235226432906993</v>
      </c>
      <c r="F66" s="22">
        <v>5979.8924340000012</v>
      </c>
      <c r="G66" s="15">
        <v>5.7647735670930018E-2</v>
      </c>
    </row>
    <row r="67" spans="1:7" ht="17.5" x14ac:dyDescent="0.55000000000000004">
      <c r="A67" s="21" t="s">
        <v>100</v>
      </c>
      <c r="B67" s="21" t="s">
        <v>12</v>
      </c>
      <c r="C67" s="16">
        <v>77805.7</v>
      </c>
      <c r="D67" s="22">
        <v>68234.143809000001</v>
      </c>
      <c r="E67" s="15">
        <v>0.87698129840101691</v>
      </c>
      <c r="F67" s="22">
        <v>9571.5561909999997</v>
      </c>
      <c r="G67" s="15">
        <v>0.12301870159898311</v>
      </c>
    </row>
    <row r="68" spans="1:7" ht="17.5" x14ac:dyDescent="0.55000000000000004">
      <c r="A68" s="21" t="s">
        <v>100</v>
      </c>
      <c r="B68" s="21" t="s">
        <v>13</v>
      </c>
      <c r="C68" s="16">
        <v>70318.100000000006</v>
      </c>
      <c r="D68" s="22">
        <v>65007.169328000004</v>
      </c>
      <c r="E68" s="15">
        <v>0.92447277909954906</v>
      </c>
      <c r="F68" s="22">
        <v>5310.9306720000004</v>
      </c>
      <c r="G68" s="15">
        <v>7.5527220900450956E-2</v>
      </c>
    </row>
    <row r="69" spans="1:7" ht="17.5" x14ac:dyDescent="0.55000000000000004">
      <c r="A69" s="21" t="s">
        <v>100</v>
      </c>
      <c r="B69" s="21" t="s">
        <v>14</v>
      </c>
      <c r="C69" s="16">
        <v>34523.629999999997</v>
      </c>
      <c r="D69" s="22">
        <v>1065.9647309999928</v>
      </c>
      <c r="E69" s="15">
        <v>3.0876380351660404E-2</v>
      </c>
      <c r="F69" s="22">
        <v>33457.665269000005</v>
      </c>
      <c r="G69" s="15">
        <v>0.9691236196483396</v>
      </c>
    </row>
    <row r="70" spans="1:7" ht="17.5" x14ac:dyDescent="0.55000000000000004">
      <c r="A70" s="21" t="s">
        <v>100</v>
      </c>
      <c r="B70" s="21" t="s">
        <v>17</v>
      </c>
      <c r="C70" s="16">
        <v>22536.63</v>
      </c>
      <c r="D70" s="22">
        <v>22536.63</v>
      </c>
      <c r="E70" s="15">
        <v>1</v>
      </c>
      <c r="F70" s="22">
        <v>0</v>
      </c>
      <c r="G70" s="15">
        <v>0</v>
      </c>
    </row>
    <row r="71" spans="1:7" ht="17.5" x14ac:dyDescent="0.55000000000000004">
      <c r="A71" s="21" t="s">
        <v>100</v>
      </c>
      <c r="B71" s="21" t="s">
        <v>76</v>
      </c>
      <c r="C71" s="16">
        <v>15559.3</v>
      </c>
      <c r="D71" s="22">
        <v>15559.3</v>
      </c>
      <c r="E71" s="15">
        <v>1</v>
      </c>
      <c r="F71" s="22">
        <v>0</v>
      </c>
      <c r="G71" s="15">
        <v>0</v>
      </c>
    </row>
    <row r="72" spans="1:7" ht="17.5" x14ac:dyDescent="0.55000000000000004">
      <c r="A72" s="21" t="s">
        <v>100</v>
      </c>
      <c r="B72" s="21" t="s">
        <v>15</v>
      </c>
      <c r="C72" s="16">
        <v>42432.07</v>
      </c>
      <c r="D72" s="22">
        <v>10532.763695999998</v>
      </c>
      <c r="E72" s="15">
        <v>0.24822648755999877</v>
      </c>
      <c r="F72" s="22">
        <v>31899.306304000002</v>
      </c>
      <c r="G72" s="15">
        <v>0.75177351244000123</v>
      </c>
    </row>
    <row r="73" spans="1:7" ht="17.5" x14ac:dyDescent="0.55000000000000004">
      <c r="A73" s="21" t="s">
        <v>100</v>
      </c>
      <c r="B73" s="21" t="s">
        <v>91</v>
      </c>
      <c r="C73" s="16">
        <v>10608.018</v>
      </c>
      <c r="D73" s="22">
        <v>10412.138696</v>
      </c>
      <c r="E73" s="15">
        <v>0.98153478774263014</v>
      </c>
      <c r="F73" s="22">
        <v>195.87930399999999</v>
      </c>
      <c r="G73" s="15">
        <v>1.8465212257369849E-2</v>
      </c>
    </row>
    <row r="74" spans="1:7" ht="17.5" x14ac:dyDescent="0.55000000000000004">
      <c r="A74" s="21" t="s">
        <v>18</v>
      </c>
      <c r="B74" s="21" t="s">
        <v>16</v>
      </c>
      <c r="C74" s="16">
        <v>109810.5</v>
      </c>
      <c r="D74" s="22">
        <v>39886.871543999994</v>
      </c>
      <c r="E74" s="15">
        <v>0.36323367568675125</v>
      </c>
      <c r="F74" s="22">
        <v>69923.628456000006</v>
      </c>
      <c r="G74" s="15">
        <v>0.63676632431324875</v>
      </c>
    </row>
    <row r="75" spans="1:7" ht="17.5" x14ac:dyDescent="0.55000000000000004">
      <c r="A75" s="21" t="s">
        <v>18</v>
      </c>
      <c r="B75" s="21" t="s">
        <v>14</v>
      </c>
      <c r="C75" s="16">
        <v>40053.79</v>
      </c>
      <c r="D75" s="22">
        <v>2606.2019999999975</v>
      </c>
      <c r="E75" s="15">
        <v>6.5067550411583963E-2</v>
      </c>
      <c r="F75" s="22">
        <v>37447.588000000003</v>
      </c>
      <c r="G75" s="15">
        <v>0.93493244958841604</v>
      </c>
    </row>
    <row r="76" spans="1:7" ht="17.5" x14ac:dyDescent="0.55000000000000004">
      <c r="A76" s="21" t="s">
        <v>18</v>
      </c>
      <c r="B76" s="21" t="s">
        <v>90</v>
      </c>
      <c r="C76" s="16">
        <v>22042.11</v>
      </c>
      <c r="D76" s="22">
        <v>423.58100000000195</v>
      </c>
      <c r="E76" s="15">
        <v>1.9216898926645465E-2</v>
      </c>
      <c r="F76" s="22">
        <v>21618.528999999999</v>
      </c>
      <c r="G76" s="15">
        <v>0.98078310107335454</v>
      </c>
    </row>
    <row r="77" spans="1:7" ht="17.5" x14ac:dyDescent="0.55000000000000004">
      <c r="A77" s="21" t="s">
        <v>18</v>
      </c>
      <c r="B77" s="21" t="s">
        <v>13</v>
      </c>
      <c r="C77" s="16">
        <v>15944.27</v>
      </c>
      <c r="D77" s="22">
        <v>7782.0920000000006</v>
      </c>
      <c r="E77" s="15">
        <v>0.48808079642404456</v>
      </c>
      <c r="F77" s="22">
        <v>8162.1779999999999</v>
      </c>
      <c r="G77" s="15">
        <v>0.51191920357595544</v>
      </c>
    </row>
    <row r="78" spans="1:7" ht="17.5" x14ac:dyDescent="0.55000000000000004">
      <c r="A78" s="21" t="s">
        <v>18</v>
      </c>
      <c r="B78" s="21" t="s">
        <v>17</v>
      </c>
      <c r="C78" s="16">
        <v>13256.49</v>
      </c>
      <c r="D78" s="22">
        <v>13304.254999999999</v>
      </c>
      <c r="E78" s="15">
        <v>1.0036031408012227</v>
      </c>
      <c r="F78" s="22">
        <v>-47.765000000000015</v>
      </c>
      <c r="G78" s="15">
        <v>-3.6031408012226476E-3</v>
      </c>
    </row>
    <row r="79" spans="1:7" ht="17.5" x14ac:dyDescent="0.55000000000000004">
      <c r="A79" s="21" t="s">
        <v>18</v>
      </c>
      <c r="B79" s="21" t="s">
        <v>15</v>
      </c>
      <c r="C79" s="16">
        <v>36736.239999999998</v>
      </c>
      <c r="D79" s="22">
        <v>20212.609336999998</v>
      </c>
      <c r="E79" s="15">
        <v>0.55020898537792651</v>
      </c>
      <c r="F79" s="22">
        <v>16523.630663</v>
      </c>
      <c r="G79" s="15">
        <v>0.44979101462207349</v>
      </c>
    </row>
    <row r="80" spans="1:7" ht="17.5" x14ac:dyDescent="0.55000000000000004">
      <c r="A80" s="21" t="s">
        <v>18</v>
      </c>
      <c r="B80" s="21" t="s">
        <v>114</v>
      </c>
      <c r="C80" s="16">
        <v>7347.2479999999996</v>
      </c>
      <c r="D80" s="22">
        <v>7343.9859289999995</v>
      </c>
      <c r="E80" s="15">
        <v>0.99955601457851972</v>
      </c>
      <c r="F80" s="22">
        <v>3.2620709999999997</v>
      </c>
      <c r="G80" s="15">
        <v>4.4398542148026035E-4</v>
      </c>
    </row>
    <row r="81" spans="1:7" ht="17.5" x14ac:dyDescent="0.55000000000000004">
      <c r="A81" s="21" t="s">
        <v>18</v>
      </c>
      <c r="B81" s="21" t="s">
        <v>111</v>
      </c>
      <c r="C81" s="16">
        <v>7347.2479999999996</v>
      </c>
      <c r="D81" s="22">
        <v>7345.8091869999998</v>
      </c>
      <c r="E81" s="15">
        <v>0.99980416980616416</v>
      </c>
      <c r="F81" s="22">
        <v>1.4388130000000001</v>
      </c>
      <c r="G81" s="15">
        <v>1.9583019383584169E-4</v>
      </c>
    </row>
    <row r="82" spans="1:7" ht="17.5" x14ac:dyDescent="0.55000000000000004">
      <c r="A82" s="21" t="s">
        <v>18</v>
      </c>
      <c r="B82" s="21" t="s">
        <v>79</v>
      </c>
      <c r="C82" s="16">
        <v>7347.2479999999996</v>
      </c>
      <c r="D82" s="22">
        <v>5778.3520009999993</v>
      </c>
      <c r="E82" s="15">
        <v>0.78646480981722677</v>
      </c>
      <c r="F82" s="22">
        <v>1568.8959990000001</v>
      </c>
      <c r="G82" s="15">
        <v>0.21353519018277323</v>
      </c>
    </row>
    <row r="83" spans="1:7" ht="17.5" x14ac:dyDescent="0.55000000000000004">
      <c r="A83" s="21" t="s">
        <v>101</v>
      </c>
      <c r="B83" s="21" t="s">
        <v>15</v>
      </c>
      <c r="C83" s="16">
        <v>544688.18000000005</v>
      </c>
      <c r="D83" s="22">
        <v>78134.181640000024</v>
      </c>
      <c r="E83" s="15">
        <v>0.14344754395074266</v>
      </c>
      <c r="F83" s="22">
        <v>466553.99836000003</v>
      </c>
      <c r="G83" s="15">
        <v>0.85655245604925734</v>
      </c>
    </row>
    <row r="84" spans="1:7" ht="17.5" x14ac:dyDescent="0.55000000000000004">
      <c r="A84" s="21" t="s">
        <v>101</v>
      </c>
      <c r="B84" s="21" t="s">
        <v>114</v>
      </c>
      <c r="C84" s="16">
        <v>108937.636</v>
      </c>
      <c r="D84" s="22">
        <v>19003.478000000003</v>
      </c>
      <c r="E84" s="15">
        <v>0.17444364223214837</v>
      </c>
      <c r="F84" s="22">
        <v>89934.157999999996</v>
      </c>
      <c r="G84" s="15">
        <v>0.82555635776785163</v>
      </c>
    </row>
    <row r="85" spans="1:7" ht="17.5" x14ac:dyDescent="0.55000000000000004">
      <c r="A85" s="21" t="s">
        <v>101</v>
      </c>
      <c r="B85" s="21" t="s">
        <v>84</v>
      </c>
      <c r="C85" s="16">
        <v>108937.636</v>
      </c>
      <c r="D85" s="22">
        <v>15948.059999999998</v>
      </c>
      <c r="E85" s="15">
        <v>0.14639623720125516</v>
      </c>
      <c r="F85" s="22">
        <v>92989.576000000001</v>
      </c>
      <c r="G85" s="15">
        <v>0.85360376279874484</v>
      </c>
    </row>
    <row r="86" spans="1:7" ht="17.5" x14ac:dyDescent="0.55000000000000004">
      <c r="A86" s="21" t="s">
        <v>101</v>
      </c>
      <c r="B86" s="21" t="s">
        <v>83</v>
      </c>
      <c r="C86" s="16">
        <v>108937.636</v>
      </c>
      <c r="D86" s="22">
        <v>13691.282999999996</v>
      </c>
      <c r="E86" s="15">
        <v>0.12568000833063786</v>
      </c>
      <c r="F86" s="22">
        <v>95246.353000000003</v>
      </c>
      <c r="G86" s="15">
        <v>0.87431999166936214</v>
      </c>
    </row>
    <row r="87" spans="1:7" ht="17.5" x14ac:dyDescent="0.55000000000000004">
      <c r="A87" s="21" t="s">
        <v>101</v>
      </c>
      <c r="B87" s="21" t="s">
        <v>111</v>
      </c>
      <c r="C87" s="16">
        <v>108937.636</v>
      </c>
      <c r="D87" s="22">
        <v>9017.5720399999991</v>
      </c>
      <c r="E87" s="15">
        <v>8.2777379527494088E-2</v>
      </c>
      <c r="F87" s="22">
        <v>99920.063959999999</v>
      </c>
      <c r="G87" s="15">
        <v>0.91722262047250591</v>
      </c>
    </row>
    <row r="88" spans="1:7" ht="17.5" x14ac:dyDescent="0.55000000000000004">
      <c r="A88" s="21" t="s">
        <v>102</v>
      </c>
      <c r="B88" s="21" t="s">
        <v>15</v>
      </c>
      <c r="C88" s="16">
        <v>108600.15</v>
      </c>
      <c r="D88" s="22">
        <v>1771.2444800000085</v>
      </c>
      <c r="E88" s="15">
        <v>1.630977931430122E-2</v>
      </c>
      <c r="F88" s="22">
        <v>106828.90551999999</v>
      </c>
      <c r="G88" s="15">
        <v>0.98369022068569878</v>
      </c>
    </row>
    <row r="89" spans="1:7" ht="17.5" x14ac:dyDescent="0.55000000000000004">
      <c r="A89" s="21" t="s">
        <v>103</v>
      </c>
      <c r="B89" s="21" t="s">
        <v>13</v>
      </c>
      <c r="C89" s="16">
        <v>49139.94</v>
      </c>
      <c r="D89" s="22">
        <v>3036.9702190000025</v>
      </c>
      <c r="E89" s="15">
        <v>6.1802481219960792E-2</v>
      </c>
      <c r="F89" s="22">
        <v>46102.969781</v>
      </c>
      <c r="G89" s="15">
        <v>0.93819751878003921</v>
      </c>
    </row>
    <row r="90" spans="1:7" ht="17.5" x14ac:dyDescent="0.55000000000000004">
      <c r="A90" s="21" t="s">
        <v>103</v>
      </c>
      <c r="B90" s="21" t="s">
        <v>17</v>
      </c>
      <c r="C90" s="16">
        <v>45569.11</v>
      </c>
      <c r="D90" s="22">
        <v>1877.5469999999987</v>
      </c>
      <c r="E90" s="15">
        <v>4.1202187183379202E-2</v>
      </c>
      <c r="F90" s="22">
        <v>43691.563000000002</v>
      </c>
      <c r="G90" s="15">
        <v>0.9587978128166208</v>
      </c>
    </row>
    <row r="91" spans="1:7" ht="17.5" x14ac:dyDescent="0.55000000000000004">
      <c r="A91" s="21" t="s">
        <v>103</v>
      </c>
      <c r="B91" s="21" t="s">
        <v>12</v>
      </c>
      <c r="C91" s="16">
        <v>30456.87</v>
      </c>
      <c r="D91" s="22">
        <v>454.66879999999946</v>
      </c>
      <c r="E91" s="15">
        <v>1.4928283832186251E-2</v>
      </c>
      <c r="F91" s="22">
        <v>30002.2012</v>
      </c>
      <c r="G91" s="15">
        <v>0.98507171616781375</v>
      </c>
    </row>
    <row r="92" spans="1:7" ht="17.5" x14ac:dyDescent="0.55000000000000004">
      <c r="A92" s="21" t="s">
        <v>103</v>
      </c>
      <c r="B92" s="21" t="s">
        <v>69</v>
      </c>
      <c r="C92" s="16">
        <v>26502.400000000001</v>
      </c>
      <c r="D92" s="22">
        <v>648.83800000000338</v>
      </c>
      <c r="E92" s="15">
        <v>2.4482235571118172E-2</v>
      </c>
      <c r="F92" s="22">
        <v>25853.561999999998</v>
      </c>
      <c r="G92" s="15">
        <v>0.97551776442888183</v>
      </c>
    </row>
    <row r="93" spans="1:7" ht="17.5" x14ac:dyDescent="0.55000000000000004">
      <c r="A93" s="21" t="s">
        <v>103</v>
      </c>
      <c r="B93" s="21" t="s">
        <v>19</v>
      </c>
      <c r="C93" s="16">
        <v>24779.75</v>
      </c>
      <c r="D93" s="22">
        <v>136.32848099999683</v>
      </c>
      <c r="E93" s="15">
        <v>5.5016084100928397E-3</v>
      </c>
      <c r="F93" s="22">
        <v>24643.421519000003</v>
      </c>
      <c r="G93" s="15">
        <v>0.99449839158990716</v>
      </c>
    </row>
    <row r="94" spans="1:7" ht="17.5" x14ac:dyDescent="0.55000000000000004">
      <c r="A94" s="21" t="s">
        <v>103</v>
      </c>
      <c r="B94" s="21" t="s">
        <v>76</v>
      </c>
      <c r="C94" s="16">
        <v>20619.849999999999</v>
      </c>
      <c r="D94" s="22">
        <v>1903.6950799999941</v>
      </c>
      <c r="E94" s="15">
        <v>9.2323420393455535E-2</v>
      </c>
      <c r="F94" s="22">
        <v>18716.154920000004</v>
      </c>
      <c r="G94" s="15">
        <v>0.90767657960654446</v>
      </c>
    </row>
    <row r="95" spans="1:7" ht="17.5" x14ac:dyDescent="0.55000000000000004">
      <c r="A95" s="21" t="s">
        <v>103</v>
      </c>
      <c r="B95" s="21" t="s">
        <v>15</v>
      </c>
      <c r="C95" s="16">
        <v>52651.51</v>
      </c>
      <c r="D95" s="22">
        <v>13952.826755000002</v>
      </c>
      <c r="E95" s="15">
        <v>0.2650033542247886</v>
      </c>
      <c r="F95" s="22">
        <v>38698.683245</v>
      </c>
      <c r="G95" s="15">
        <v>0.7349966457752114</v>
      </c>
    </row>
    <row r="96" spans="1:7" ht="17.5" x14ac:dyDescent="0.55000000000000004">
      <c r="A96" s="21" t="s">
        <v>20</v>
      </c>
      <c r="B96" s="21" t="s">
        <v>16</v>
      </c>
      <c r="C96" s="16">
        <v>4866.58</v>
      </c>
      <c r="D96" s="22">
        <v>2776.0728999999997</v>
      </c>
      <c r="E96" s="15">
        <v>0.57043609680720331</v>
      </c>
      <c r="F96" s="22">
        <v>2090.5071000000003</v>
      </c>
      <c r="G96" s="15">
        <v>0.42956390319279664</v>
      </c>
    </row>
    <row r="97" spans="1:7" ht="17.5" x14ac:dyDescent="0.55000000000000004">
      <c r="A97" s="21" t="s">
        <v>20</v>
      </c>
      <c r="B97" s="21" t="s">
        <v>12</v>
      </c>
      <c r="C97" s="16">
        <v>2064.44</v>
      </c>
      <c r="D97" s="22">
        <v>378.41499999999996</v>
      </c>
      <c r="E97" s="15">
        <v>0.18330152486872953</v>
      </c>
      <c r="F97" s="22">
        <v>1686.0250000000001</v>
      </c>
      <c r="G97" s="15">
        <v>0.81669847513127047</v>
      </c>
    </row>
    <row r="98" spans="1:7" ht="17.5" x14ac:dyDescent="0.55000000000000004">
      <c r="A98" s="21" t="s">
        <v>20</v>
      </c>
      <c r="B98" s="21" t="s">
        <v>69</v>
      </c>
      <c r="C98" s="16">
        <v>1413.62</v>
      </c>
      <c r="D98" s="22">
        <v>30.72199999999998</v>
      </c>
      <c r="E98" s="15">
        <v>2.1732856071645879E-2</v>
      </c>
      <c r="F98" s="22">
        <v>1382.8979999999999</v>
      </c>
      <c r="G98" s="15">
        <v>0.97826714392835412</v>
      </c>
    </row>
    <row r="99" spans="1:7" ht="17.5" x14ac:dyDescent="0.55000000000000004">
      <c r="A99" s="21" t="s">
        <v>20</v>
      </c>
      <c r="B99" s="21" t="s">
        <v>14</v>
      </c>
      <c r="C99" s="16">
        <v>851.63</v>
      </c>
      <c r="D99" s="22">
        <v>0</v>
      </c>
      <c r="E99" s="15">
        <v>0</v>
      </c>
      <c r="F99" s="22">
        <v>851.63</v>
      </c>
      <c r="G99" s="15">
        <v>1</v>
      </c>
    </row>
    <row r="100" spans="1:7" ht="17.5" x14ac:dyDescent="0.55000000000000004">
      <c r="A100" s="21" t="s">
        <v>20</v>
      </c>
      <c r="B100" s="21" t="s">
        <v>17</v>
      </c>
      <c r="C100" s="16">
        <v>786.26</v>
      </c>
      <c r="D100" s="22">
        <v>0</v>
      </c>
      <c r="E100" s="15">
        <v>0</v>
      </c>
      <c r="F100" s="22">
        <v>786.26</v>
      </c>
      <c r="G100" s="15">
        <v>1</v>
      </c>
    </row>
    <row r="101" spans="1:7" ht="17.5" x14ac:dyDescent="0.55000000000000004">
      <c r="A101" s="21" t="s">
        <v>20</v>
      </c>
      <c r="B101" s="21" t="s">
        <v>15</v>
      </c>
      <c r="C101" s="16">
        <v>1031.6199999999999</v>
      </c>
      <c r="D101" s="22">
        <v>5.707969999999932</v>
      </c>
      <c r="E101" s="15">
        <v>5.5330160330353539E-3</v>
      </c>
      <c r="F101" s="22">
        <v>1025.91203</v>
      </c>
      <c r="G101" s="15">
        <v>0.99446698396696465</v>
      </c>
    </row>
    <row r="102" spans="1:7" ht="17.5" x14ac:dyDescent="0.55000000000000004">
      <c r="A102" s="21" t="s">
        <v>21</v>
      </c>
      <c r="B102" s="21" t="s">
        <v>16</v>
      </c>
      <c r="C102" s="16">
        <v>138863.53</v>
      </c>
      <c r="D102" s="22">
        <v>138863.53</v>
      </c>
      <c r="E102" s="15">
        <v>1</v>
      </c>
      <c r="F102" s="22">
        <v>0</v>
      </c>
      <c r="G102" s="15">
        <v>0</v>
      </c>
    </row>
    <row r="103" spans="1:7" ht="17.5" x14ac:dyDescent="0.55000000000000004">
      <c r="A103" s="21" t="s">
        <v>21</v>
      </c>
      <c r="B103" s="21" t="s">
        <v>14</v>
      </c>
      <c r="C103" s="16">
        <v>116010.68</v>
      </c>
      <c r="D103" s="22">
        <v>3212.1529999999912</v>
      </c>
      <c r="E103" s="15">
        <v>2.7688424893294261E-2</v>
      </c>
      <c r="F103" s="22">
        <v>112798.527</v>
      </c>
      <c r="G103" s="15">
        <v>0.97231157510670574</v>
      </c>
    </row>
    <row r="104" spans="1:7" ht="17.5" x14ac:dyDescent="0.55000000000000004">
      <c r="A104" s="21" t="s">
        <v>21</v>
      </c>
      <c r="B104" s="21" t="s">
        <v>76</v>
      </c>
      <c r="C104" s="16">
        <v>104915.97</v>
      </c>
      <c r="D104" s="22">
        <v>58570.718310000004</v>
      </c>
      <c r="E104" s="15">
        <v>0.55826313486879076</v>
      </c>
      <c r="F104" s="22">
        <v>46345.251689999997</v>
      </c>
      <c r="G104" s="15">
        <v>0.44173686513120924</v>
      </c>
    </row>
    <row r="105" spans="1:7" ht="17.5" x14ac:dyDescent="0.55000000000000004">
      <c r="A105" s="21" t="s">
        <v>21</v>
      </c>
      <c r="B105" s="21" t="s">
        <v>22</v>
      </c>
      <c r="C105" s="16">
        <v>67429.45</v>
      </c>
      <c r="D105" s="22">
        <v>1024.4842000000062</v>
      </c>
      <c r="E105" s="15">
        <v>1.5193423645009752E-2</v>
      </c>
      <c r="F105" s="22">
        <v>66404.965799999991</v>
      </c>
      <c r="G105" s="15">
        <v>0.98480657635499025</v>
      </c>
    </row>
    <row r="106" spans="1:7" ht="17.5" x14ac:dyDescent="0.55000000000000004">
      <c r="A106" s="21" t="s">
        <v>21</v>
      </c>
      <c r="B106" s="21" t="s">
        <v>15</v>
      </c>
      <c r="C106" s="16">
        <v>60084.37</v>
      </c>
      <c r="D106" s="22">
        <v>10589.447568000011</v>
      </c>
      <c r="E106" s="15">
        <v>0.17624296581623489</v>
      </c>
      <c r="F106" s="22">
        <v>49494.922431999992</v>
      </c>
      <c r="G106" s="15">
        <v>0.82375703418376511</v>
      </c>
    </row>
    <row r="107" spans="1:7" ht="17.5" x14ac:dyDescent="0.55000000000000004">
      <c r="A107" s="21" t="s">
        <v>23</v>
      </c>
      <c r="B107" s="21" t="s">
        <v>76</v>
      </c>
      <c r="C107" s="16">
        <v>93454.78</v>
      </c>
      <c r="D107" s="22">
        <v>56517.655999999995</v>
      </c>
      <c r="E107" s="15">
        <v>0.6047593927244812</v>
      </c>
      <c r="F107" s="22">
        <v>36937.124000000003</v>
      </c>
      <c r="G107" s="15">
        <v>0.39524060727551874</v>
      </c>
    </row>
    <row r="108" spans="1:7" ht="17.5" x14ac:dyDescent="0.55000000000000004">
      <c r="A108" s="21" t="s">
        <v>23</v>
      </c>
      <c r="B108" s="21" t="s">
        <v>24</v>
      </c>
      <c r="C108" s="16">
        <v>33620.449999999997</v>
      </c>
      <c r="D108" s="22">
        <v>0</v>
      </c>
      <c r="E108" s="15">
        <v>0</v>
      </c>
      <c r="F108" s="22">
        <v>33620.449999999997</v>
      </c>
      <c r="G108" s="15">
        <v>1</v>
      </c>
    </row>
    <row r="109" spans="1:7" ht="17.5" x14ac:dyDescent="0.55000000000000004">
      <c r="A109" s="21" t="s">
        <v>23</v>
      </c>
      <c r="B109" s="21" t="s">
        <v>25</v>
      </c>
      <c r="C109" s="16">
        <v>28099.1</v>
      </c>
      <c r="D109" s="22">
        <v>22.251999999996769</v>
      </c>
      <c r="E109" s="15">
        <v>7.9191148470936223E-4</v>
      </c>
      <c r="F109" s="22">
        <v>28076.848000000002</v>
      </c>
      <c r="G109" s="15">
        <v>0.99920808851529064</v>
      </c>
    </row>
    <row r="110" spans="1:7" ht="17.5" x14ac:dyDescent="0.55000000000000004">
      <c r="A110" s="21" t="s">
        <v>23</v>
      </c>
      <c r="B110" s="21" t="s">
        <v>15</v>
      </c>
      <c r="C110" s="16">
        <v>136462.26999999999</v>
      </c>
      <c r="D110" s="22">
        <v>11912.401139999987</v>
      </c>
      <c r="E110" s="15">
        <v>8.7294467108014473E-2</v>
      </c>
      <c r="F110" s="22">
        <v>124549.86886</v>
      </c>
      <c r="G110" s="15">
        <v>0.91270553289198553</v>
      </c>
    </row>
    <row r="111" spans="1:7" ht="17.5" x14ac:dyDescent="0.55000000000000004">
      <c r="A111" s="21" t="s">
        <v>23</v>
      </c>
      <c r="B111" s="21" t="s">
        <v>81</v>
      </c>
      <c r="C111" s="16">
        <v>27292.454000000002</v>
      </c>
      <c r="D111" s="22">
        <v>8013.7820000000029</v>
      </c>
      <c r="E111" s="15">
        <v>0.29362628952310421</v>
      </c>
      <c r="F111" s="22">
        <v>19278.671999999999</v>
      </c>
      <c r="G111" s="15">
        <v>0.70637371047689579</v>
      </c>
    </row>
    <row r="112" spans="1:7" ht="17.5" x14ac:dyDescent="0.55000000000000004">
      <c r="A112" s="21" t="s">
        <v>23</v>
      </c>
      <c r="B112" s="21" t="s">
        <v>78</v>
      </c>
      <c r="C112" s="16">
        <v>27292.454000000002</v>
      </c>
      <c r="D112" s="22">
        <v>3606.2440000000024</v>
      </c>
      <c r="E112" s="15">
        <v>0.13213337283631599</v>
      </c>
      <c r="F112" s="22">
        <v>23686.21</v>
      </c>
      <c r="G112" s="15">
        <v>0.86786662716368401</v>
      </c>
    </row>
    <row r="113" spans="1:7" ht="17.5" x14ac:dyDescent="0.55000000000000004">
      <c r="A113" s="21" t="s">
        <v>23</v>
      </c>
      <c r="B113" s="21" t="s">
        <v>115</v>
      </c>
      <c r="C113" s="16">
        <v>27292.454000000002</v>
      </c>
      <c r="D113" s="22">
        <v>69.819140000003244</v>
      </c>
      <c r="E113" s="15">
        <v>2.5581847641843458E-3</v>
      </c>
      <c r="F113" s="22">
        <v>27222.634859999998</v>
      </c>
      <c r="G113" s="15">
        <v>0.99744181523581565</v>
      </c>
    </row>
    <row r="114" spans="1:7" ht="17.5" x14ac:dyDescent="0.55000000000000004">
      <c r="A114" s="21" t="s">
        <v>26</v>
      </c>
      <c r="B114" s="21" t="s">
        <v>12</v>
      </c>
      <c r="C114" s="16">
        <v>31416.22</v>
      </c>
      <c r="D114" s="22">
        <v>31416.22</v>
      </c>
      <c r="E114" s="15">
        <v>1</v>
      </c>
      <c r="F114" s="22">
        <v>0</v>
      </c>
      <c r="G114" s="15">
        <v>0</v>
      </c>
    </row>
    <row r="115" spans="1:7" ht="17.5" x14ac:dyDescent="0.55000000000000004">
      <c r="A115" s="21" t="s">
        <v>26</v>
      </c>
      <c r="B115" s="21" t="s">
        <v>14</v>
      </c>
      <c r="C115" s="16">
        <v>4591.1000000000004</v>
      </c>
      <c r="D115" s="22">
        <v>257.11085000000003</v>
      </c>
      <c r="E115" s="15">
        <v>5.6002014767702724E-2</v>
      </c>
      <c r="F115" s="22">
        <v>4333.9891500000003</v>
      </c>
      <c r="G115" s="15">
        <v>0.94399798523229728</v>
      </c>
    </row>
    <row r="116" spans="1:7" ht="17.5" x14ac:dyDescent="0.55000000000000004">
      <c r="A116" s="21" t="s">
        <v>26</v>
      </c>
      <c r="B116" s="21" t="s">
        <v>22</v>
      </c>
      <c r="C116" s="16">
        <v>4519.09</v>
      </c>
      <c r="D116" s="22">
        <v>355.19232399999964</v>
      </c>
      <c r="E116" s="15">
        <v>7.8598196539568677E-2</v>
      </c>
      <c r="F116" s="22">
        <v>4163.8976760000005</v>
      </c>
      <c r="G116" s="15">
        <v>0.92140180346043132</v>
      </c>
    </row>
    <row r="117" spans="1:7" ht="17.5" x14ac:dyDescent="0.55000000000000004">
      <c r="A117" s="21" t="s">
        <v>26</v>
      </c>
      <c r="B117" s="21" t="s">
        <v>15</v>
      </c>
      <c r="C117" s="16">
        <v>5098.2299999999996</v>
      </c>
      <c r="D117" s="22">
        <v>2605.0117649999997</v>
      </c>
      <c r="E117" s="15">
        <v>0.51096395513737125</v>
      </c>
      <c r="F117" s="22">
        <v>2493.2182349999998</v>
      </c>
      <c r="G117" s="15">
        <v>0.4890360448626288</v>
      </c>
    </row>
    <row r="118" spans="1:7" ht="17.5" x14ac:dyDescent="0.55000000000000004">
      <c r="A118" s="21" t="s">
        <v>26</v>
      </c>
      <c r="B118" s="21" t="s">
        <v>115</v>
      </c>
      <c r="C118" s="16">
        <v>1274.558</v>
      </c>
      <c r="D118" s="22">
        <v>1274.558</v>
      </c>
      <c r="E118" s="15">
        <v>1</v>
      </c>
      <c r="F118" s="22">
        <v>0</v>
      </c>
      <c r="G118" s="15">
        <v>0</v>
      </c>
    </row>
    <row r="119" spans="1:7" ht="17.5" x14ac:dyDescent="0.55000000000000004">
      <c r="A119" s="21" t="s">
        <v>26</v>
      </c>
      <c r="B119" s="21" t="s">
        <v>92</v>
      </c>
      <c r="C119" s="16">
        <v>1274.558</v>
      </c>
      <c r="D119" s="22">
        <v>1274.558</v>
      </c>
      <c r="E119" s="15">
        <v>1</v>
      </c>
      <c r="F119" s="22">
        <v>0</v>
      </c>
      <c r="G119" s="15">
        <v>0</v>
      </c>
    </row>
    <row r="120" spans="1:7" ht="17.5" x14ac:dyDescent="0.55000000000000004">
      <c r="A120" s="21" t="s">
        <v>26</v>
      </c>
      <c r="B120" s="21" t="s">
        <v>95</v>
      </c>
      <c r="C120" s="16">
        <v>1274.558</v>
      </c>
      <c r="D120" s="22">
        <v>51.603204999999889</v>
      </c>
      <c r="E120" s="15">
        <v>4.0487137501784898E-2</v>
      </c>
      <c r="F120" s="22">
        <v>1222.9547950000001</v>
      </c>
      <c r="G120" s="15">
        <v>0.9595128624982151</v>
      </c>
    </row>
    <row r="121" spans="1:7" ht="17.5" x14ac:dyDescent="0.55000000000000004">
      <c r="A121" s="21" t="s">
        <v>27</v>
      </c>
      <c r="B121" s="21" t="s">
        <v>12</v>
      </c>
      <c r="C121" s="16">
        <v>7306.86</v>
      </c>
      <c r="D121" s="22">
        <v>1074.7839999999997</v>
      </c>
      <c r="E121" s="15">
        <v>0.14709245831998963</v>
      </c>
      <c r="F121" s="22">
        <v>6232.076</v>
      </c>
      <c r="G121" s="15">
        <v>0.85290754168001037</v>
      </c>
    </row>
    <row r="122" spans="1:7" ht="17.5" x14ac:dyDescent="0.55000000000000004">
      <c r="A122" s="21" t="s">
        <v>27</v>
      </c>
      <c r="B122" s="21" t="s">
        <v>17</v>
      </c>
      <c r="C122" s="16">
        <v>4711.17</v>
      </c>
      <c r="D122" s="22">
        <v>453.48900000000049</v>
      </c>
      <c r="E122" s="15">
        <v>9.6258254318990932E-2</v>
      </c>
      <c r="F122" s="22">
        <v>4257.6809999999996</v>
      </c>
      <c r="G122" s="15">
        <v>0.90374174568100907</v>
      </c>
    </row>
    <row r="123" spans="1:7" ht="17.5" x14ac:dyDescent="0.55000000000000004">
      <c r="A123" s="21" t="s">
        <v>27</v>
      </c>
      <c r="B123" s="21" t="s">
        <v>14</v>
      </c>
      <c r="C123" s="16">
        <v>3784.9</v>
      </c>
      <c r="D123" s="22">
        <v>34.48700000000008</v>
      </c>
      <c r="E123" s="15">
        <v>9.1117334671986239E-3</v>
      </c>
      <c r="F123" s="22">
        <v>3750.413</v>
      </c>
      <c r="G123" s="15">
        <v>0.99088826653280138</v>
      </c>
    </row>
    <row r="124" spans="1:7" ht="17.5" x14ac:dyDescent="0.55000000000000004">
      <c r="A124" s="21" t="s">
        <v>27</v>
      </c>
      <c r="B124" s="21" t="s">
        <v>13</v>
      </c>
      <c r="C124" s="16">
        <v>2352.12</v>
      </c>
      <c r="D124" s="22">
        <v>102.62910000000011</v>
      </c>
      <c r="E124" s="15">
        <v>4.3632595275751251E-2</v>
      </c>
      <c r="F124" s="22">
        <v>2249.4908999999998</v>
      </c>
      <c r="G124" s="15">
        <v>0.95636740472424875</v>
      </c>
    </row>
    <row r="125" spans="1:7" ht="17.5" x14ac:dyDescent="0.55000000000000004">
      <c r="A125" s="21" t="s">
        <v>27</v>
      </c>
      <c r="B125" s="21" t="s">
        <v>28</v>
      </c>
      <c r="C125" s="16">
        <v>1580.93</v>
      </c>
      <c r="D125" s="22">
        <v>475.01600000000008</v>
      </c>
      <c r="E125" s="15">
        <v>0.30046618129834979</v>
      </c>
      <c r="F125" s="22">
        <v>1105.914</v>
      </c>
      <c r="G125" s="15">
        <v>0.69953381870165021</v>
      </c>
    </row>
    <row r="126" spans="1:7" ht="17.5" x14ac:dyDescent="0.55000000000000004">
      <c r="A126" s="21" t="s">
        <v>27</v>
      </c>
      <c r="B126" s="21" t="s">
        <v>15</v>
      </c>
      <c r="C126" s="16">
        <v>826.48</v>
      </c>
      <c r="D126" s="22">
        <v>4.0000000000190994E-3</v>
      </c>
      <c r="E126" s="15">
        <v>4.8398025360718577E-6</v>
      </c>
      <c r="F126" s="22">
        <v>826.476</v>
      </c>
      <c r="G126" s="15">
        <v>0.99999516019746393</v>
      </c>
    </row>
    <row r="127" spans="1:7" ht="17.5" x14ac:dyDescent="0.55000000000000004">
      <c r="A127" s="21" t="s">
        <v>29</v>
      </c>
      <c r="B127" s="21" t="s">
        <v>14</v>
      </c>
      <c r="C127" s="16">
        <v>161343.70000000001</v>
      </c>
      <c r="D127" s="22">
        <v>6770.2760000000126</v>
      </c>
      <c r="E127" s="15">
        <v>4.1961824353848431E-2</v>
      </c>
      <c r="F127" s="22">
        <v>154573.424</v>
      </c>
      <c r="G127" s="15">
        <v>0.95803817564615157</v>
      </c>
    </row>
    <row r="128" spans="1:7" ht="17.5" x14ac:dyDescent="0.55000000000000004">
      <c r="A128" s="21" t="s">
        <v>29</v>
      </c>
      <c r="B128" s="21" t="s">
        <v>22</v>
      </c>
      <c r="C128" s="16">
        <v>113936.11</v>
      </c>
      <c r="D128" s="22">
        <v>2114.9959999999992</v>
      </c>
      <c r="E128" s="15">
        <v>1.8562999912845934E-2</v>
      </c>
      <c r="F128" s="22">
        <v>111821.114</v>
      </c>
      <c r="G128" s="15">
        <v>0.98143700008715407</v>
      </c>
    </row>
    <row r="129" spans="1:7" ht="17.5" x14ac:dyDescent="0.55000000000000004">
      <c r="A129" s="21" t="s">
        <v>29</v>
      </c>
      <c r="B129" s="21" t="s">
        <v>76</v>
      </c>
      <c r="C129" s="16">
        <v>97074.41</v>
      </c>
      <c r="D129" s="22">
        <v>68271.600999999995</v>
      </c>
      <c r="E129" s="15">
        <v>0.7032914338598607</v>
      </c>
      <c r="F129" s="22">
        <v>28802.809000000001</v>
      </c>
      <c r="G129" s="15">
        <v>0.2967085661401393</v>
      </c>
    </row>
    <row r="130" spans="1:7" ht="17.5" x14ac:dyDescent="0.55000000000000004">
      <c r="A130" s="21" t="s">
        <v>29</v>
      </c>
      <c r="B130" s="21" t="s">
        <v>25</v>
      </c>
      <c r="C130" s="16">
        <v>58428.3</v>
      </c>
      <c r="D130" s="22">
        <v>305.50100000000384</v>
      </c>
      <c r="E130" s="15">
        <v>5.2286477614443827E-3</v>
      </c>
      <c r="F130" s="22">
        <v>58122.798999999999</v>
      </c>
      <c r="G130" s="15">
        <v>0.99477135223855562</v>
      </c>
    </row>
    <row r="131" spans="1:7" ht="17.5" x14ac:dyDescent="0.55000000000000004">
      <c r="A131" s="21" t="s">
        <v>29</v>
      </c>
      <c r="B131" s="21" t="s">
        <v>15</v>
      </c>
      <c r="C131" s="16">
        <v>99493.91</v>
      </c>
      <c r="D131" s="22">
        <v>8663.6408040000097</v>
      </c>
      <c r="E131" s="15">
        <v>8.707709651776685E-2</v>
      </c>
      <c r="F131" s="22">
        <v>90830.269195999994</v>
      </c>
      <c r="G131" s="15">
        <v>0.91292290348223315</v>
      </c>
    </row>
    <row r="132" spans="1:7" ht="17.5" x14ac:dyDescent="0.55000000000000004">
      <c r="A132" s="21" t="s">
        <v>29</v>
      </c>
      <c r="B132" s="21" t="s">
        <v>80</v>
      </c>
      <c r="C132" s="16">
        <v>14924.087</v>
      </c>
      <c r="D132" s="22">
        <v>0</v>
      </c>
      <c r="E132" s="15">
        <v>0</v>
      </c>
      <c r="F132" s="22">
        <v>14924.087</v>
      </c>
      <c r="G132" s="15">
        <v>1</v>
      </c>
    </row>
    <row r="133" spans="1:7" ht="17.5" x14ac:dyDescent="0.55000000000000004">
      <c r="A133" s="21" t="s">
        <v>29</v>
      </c>
      <c r="B133" s="21" t="s">
        <v>81</v>
      </c>
      <c r="C133" s="16">
        <v>14924.087</v>
      </c>
      <c r="D133" s="22">
        <v>5952.1978039999995</v>
      </c>
      <c r="E133" s="15">
        <v>0.3988316205875776</v>
      </c>
      <c r="F133" s="22">
        <v>8971.8891960000001</v>
      </c>
      <c r="G133" s="15">
        <v>0.6011683794124224</v>
      </c>
    </row>
    <row r="134" spans="1:7" ht="17.5" x14ac:dyDescent="0.55000000000000004">
      <c r="A134" s="21" t="s">
        <v>29</v>
      </c>
      <c r="B134" s="21" t="s">
        <v>78</v>
      </c>
      <c r="C134" s="16">
        <v>14924.087</v>
      </c>
      <c r="D134" s="22">
        <v>1513.0200000000004</v>
      </c>
      <c r="E134" s="15">
        <v>0.10138107610870939</v>
      </c>
      <c r="F134" s="22">
        <v>13411.066999999999</v>
      </c>
      <c r="G134" s="15">
        <v>0.89861892389129061</v>
      </c>
    </row>
    <row r="135" spans="1:7" ht="17.5" x14ac:dyDescent="0.55000000000000004">
      <c r="A135" s="21" t="s">
        <v>29</v>
      </c>
      <c r="B135" s="21" t="s">
        <v>82</v>
      </c>
      <c r="C135" s="16">
        <v>14924.087</v>
      </c>
      <c r="D135" s="22">
        <v>0</v>
      </c>
      <c r="E135" s="15">
        <v>0</v>
      </c>
      <c r="F135" s="22">
        <v>14924.087</v>
      </c>
      <c r="G135" s="15">
        <v>1</v>
      </c>
    </row>
    <row r="136" spans="1:7" ht="17.5" x14ac:dyDescent="0.55000000000000004">
      <c r="A136" s="21" t="s">
        <v>29</v>
      </c>
      <c r="B136" s="21" t="s">
        <v>83</v>
      </c>
      <c r="C136" s="16">
        <v>14924.087</v>
      </c>
      <c r="D136" s="22">
        <v>334.43599999999969</v>
      </c>
      <c r="E136" s="15">
        <v>2.2409143018263022E-2</v>
      </c>
      <c r="F136" s="22">
        <v>14589.651</v>
      </c>
      <c r="G136" s="15">
        <v>0.97759085698173698</v>
      </c>
    </row>
    <row r="137" spans="1:7" ht="17.5" x14ac:dyDescent="0.55000000000000004">
      <c r="A137" s="21" t="s">
        <v>29</v>
      </c>
      <c r="B137" s="21" t="s">
        <v>79</v>
      </c>
      <c r="C137" s="16">
        <v>14924.087</v>
      </c>
      <c r="D137" s="22">
        <v>815.26699999999983</v>
      </c>
      <c r="E137" s="15">
        <v>5.4627596314602012E-2</v>
      </c>
      <c r="F137" s="22">
        <v>14108.82</v>
      </c>
      <c r="G137" s="15">
        <v>0.94537240368539799</v>
      </c>
    </row>
    <row r="138" spans="1:7" ht="17.5" x14ac:dyDescent="0.55000000000000004">
      <c r="A138" s="21" t="s">
        <v>29</v>
      </c>
      <c r="B138" s="21" t="s">
        <v>84</v>
      </c>
      <c r="C138" s="16">
        <v>14924.087</v>
      </c>
      <c r="D138" s="22">
        <v>0</v>
      </c>
      <c r="E138" s="15">
        <v>0</v>
      </c>
      <c r="F138" s="22">
        <v>14924.087</v>
      </c>
      <c r="G138" s="15">
        <v>1</v>
      </c>
    </row>
    <row r="139" spans="1:7" ht="17.5" x14ac:dyDescent="0.55000000000000004">
      <c r="A139" s="21" t="s">
        <v>29</v>
      </c>
      <c r="B139" s="21" t="s">
        <v>85</v>
      </c>
      <c r="C139" s="16">
        <v>14924.087</v>
      </c>
      <c r="D139" s="22">
        <v>48.719999999999345</v>
      </c>
      <c r="E139" s="15">
        <v>3.2645213070655599E-3</v>
      </c>
      <c r="F139" s="22">
        <v>14875.367</v>
      </c>
      <c r="G139" s="15">
        <v>0.99673547869293444</v>
      </c>
    </row>
    <row r="140" spans="1:7" ht="17.5" x14ac:dyDescent="0.55000000000000004">
      <c r="A140" s="21" t="s">
        <v>29</v>
      </c>
      <c r="B140" s="21" t="s">
        <v>91</v>
      </c>
      <c r="C140" s="16">
        <v>14924.087</v>
      </c>
      <c r="D140" s="22">
        <v>0</v>
      </c>
      <c r="E140" s="15">
        <v>0</v>
      </c>
      <c r="F140" s="22">
        <v>14924.087</v>
      </c>
      <c r="G140" s="15">
        <v>1</v>
      </c>
    </row>
    <row r="141" spans="1:7" ht="17.5" x14ac:dyDescent="0.55000000000000004">
      <c r="A141" s="21" t="s">
        <v>30</v>
      </c>
      <c r="B141" s="21" t="s">
        <v>14</v>
      </c>
      <c r="C141" s="16">
        <v>26908.61</v>
      </c>
      <c r="D141" s="22">
        <v>927.03900000000067</v>
      </c>
      <c r="E141" s="15">
        <v>3.4451389350843464E-2</v>
      </c>
      <c r="F141" s="22">
        <v>25981.571</v>
      </c>
      <c r="G141" s="15">
        <v>0.96554861064915654</v>
      </c>
    </row>
    <row r="142" spans="1:7" ht="17.5" x14ac:dyDescent="0.55000000000000004">
      <c r="A142" s="21" t="s">
        <v>30</v>
      </c>
      <c r="B142" s="21" t="s">
        <v>76</v>
      </c>
      <c r="C142" s="16">
        <v>22394.61</v>
      </c>
      <c r="D142" s="22">
        <v>10964.08468</v>
      </c>
      <c r="E142" s="15">
        <v>0.48958587267204023</v>
      </c>
      <c r="F142" s="22">
        <v>11430.525320000001</v>
      </c>
      <c r="G142" s="15">
        <v>0.51041412732795977</v>
      </c>
    </row>
    <row r="143" spans="1:7" ht="17.5" x14ac:dyDescent="0.55000000000000004">
      <c r="A143" s="21" t="s">
        <v>30</v>
      </c>
      <c r="B143" s="21" t="s">
        <v>13</v>
      </c>
      <c r="C143" s="16">
        <v>5219.18</v>
      </c>
      <c r="D143" s="22">
        <v>5217.26</v>
      </c>
      <c r="E143" s="15">
        <v>0.99963212611942875</v>
      </c>
      <c r="F143" s="22">
        <v>1.9200000000000017</v>
      </c>
      <c r="G143" s="15">
        <v>3.6787388057127779E-4</v>
      </c>
    </row>
    <row r="144" spans="1:7" ht="17.5" x14ac:dyDescent="0.55000000000000004">
      <c r="A144" s="21" t="s">
        <v>30</v>
      </c>
      <c r="B144" s="21" t="s">
        <v>15</v>
      </c>
      <c r="C144" s="23">
        <v>66804.89</v>
      </c>
      <c r="D144" s="22">
        <v>63838.775000000001</v>
      </c>
      <c r="E144" s="24">
        <v>0.95560033105360997</v>
      </c>
      <c r="F144" s="22">
        <v>2966.1149999999998</v>
      </c>
      <c r="G144" s="24">
        <v>4.4399668946389997E-2</v>
      </c>
    </row>
    <row r="145" spans="1:7" ht="17.5" x14ac:dyDescent="0.55000000000000004">
      <c r="A145" s="21" t="s">
        <v>30</v>
      </c>
      <c r="B145" s="21" t="s">
        <v>115</v>
      </c>
      <c r="C145" s="23">
        <v>4912.9960000000001</v>
      </c>
      <c r="D145" s="22">
        <v>4912.9960000000001</v>
      </c>
      <c r="E145" s="24">
        <v>1</v>
      </c>
      <c r="F145" s="22">
        <v>0</v>
      </c>
      <c r="G145" s="24">
        <v>0</v>
      </c>
    </row>
    <row r="146" spans="1:7" ht="17.5" x14ac:dyDescent="0.55000000000000004">
      <c r="A146" s="21" t="s">
        <v>30</v>
      </c>
      <c r="B146" s="21" t="s">
        <v>94</v>
      </c>
      <c r="C146" s="23">
        <v>4912.9960000000001</v>
      </c>
      <c r="D146" s="22">
        <v>0</v>
      </c>
      <c r="E146" s="24">
        <v>0</v>
      </c>
      <c r="F146" s="22">
        <v>4912.9960000000001</v>
      </c>
      <c r="G146" s="24">
        <v>1</v>
      </c>
    </row>
    <row r="147" spans="1:7" ht="17.5" x14ac:dyDescent="0.55000000000000004">
      <c r="A147" s="21" t="s">
        <v>30</v>
      </c>
      <c r="B147" s="21" t="s">
        <v>116</v>
      </c>
      <c r="C147" s="23">
        <v>4912.9960000000001</v>
      </c>
      <c r="D147" s="22">
        <v>4403.4790000000003</v>
      </c>
      <c r="E147" s="24">
        <v>0.89629199779523527</v>
      </c>
      <c r="F147" s="22">
        <v>509.517</v>
      </c>
      <c r="G147" s="24">
        <v>0.10370800220476467</v>
      </c>
    </row>
    <row r="148" spans="1:7" ht="17.5" x14ac:dyDescent="0.55000000000000004">
      <c r="A148" s="21" t="s">
        <v>31</v>
      </c>
      <c r="B148" s="21" t="s">
        <v>16</v>
      </c>
      <c r="C148" s="23">
        <v>6929.06</v>
      </c>
      <c r="D148" s="22">
        <v>6929.06</v>
      </c>
      <c r="E148" s="24">
        <v>1</v>
      </c>
      <c r="F148" s="22">
        <v>0</v>
      </c>
      <c r="G148" s="24">
        <v>0</v>
      </c>
    </row>
    <row r="149" spans="1:7" ht="17.5" x14ac:dyDescent="0.55000000000000004">
      <c r="A149" s="21" t="s">
        <v>31</v>
      </c>
      <c r="B149" s="21" t="s">
        <v>32</v>
      </c>
      <c r="C149" s="23">
        <v>3429.23</v>
      </c>
      <c r="D149" s="22">
        <v>0</v>
      </c>
      <c r="E149" s="24">
        <v>0</v>
      </c>
      <c r="F149" s="22">
        <v>3429.23</v>
      </c>
      <c r="G149" s="24">
        <v>1</v>
      </c>
    </row>
    <row r="150" spans="1:7" ht="17.5" x14ac:dyDescent="0.55000000000000004">
      <c r="A150" s="21" t="s">
        <v>31</v>
      </c>
      <c r="B150" s="21" t="s">
        <v>14</v>
      </c>
      <c r="C150" s="23">
        <v>889.27</v>
      </c>
      <c r="D150" s="22">
        <v>0.60000000000002274</v>
      </c>
      <c r="E150" s="24">
        <v>6.7471071777980285E-4</v>
      </c>
      <c r="F150" s="22">
        <v>888.67</v>
      </c>
      <c r="G150" s="24">
        <v>0.9993252892822202</v>
      </c>
    </row>
    <row r="151" spans="1:7" ht="17.5" x14ac:dyDescent="0.55000000000000004">
      <c r="A151" s="21" t="s">
        <v>31</v>
      </c>
      <c r="B151" s="21" t="s">
        <v>15</v>
      </c>
      <c r="C151" s="23">
        <v>333.02</v>
      </c>
      <c r="D151" s="22">
        <v>0</v>
      </c>
      <c r="E151" s="24">
        <v>0</v>
      </c>
      <c r="F151" s="22">
        <v>333.02</v>
      </c>
      <c r="G151" s="24">
        <v>1</v>
      </c>
    </row>
    <row r="152" spans="1:7" ht="17.5" x14ac:dyDescent="0.55000000000000004">
      <c r="A152" s="21" t="s">
        <v>33</v>
      </c>
      <c r="B152" s="21" t="s">
        <v>14</v>
      </c>
      <c r="C152" s="23">
        <v>5057.49</v>
      </c>
      <c r="D152" s="22">
        <v>943.44575999999961</v>
      </c>
      <c r="E152" s="24">
        <v>0.18654426602919627</v>
      </c>
      <c r="F152" s="22">
        <v>4114.0442400000002</v>
      </c>
      <c r="G152" s="24">
        <v>0.81345573397080373</v>
      </c>
    </row>
    <row r="153" spans="1:7" ht="17.5" x14ac:dyDescent="0.55000000000000004">
      <c r="A153" s="21" t="s">
        <v>33</v>
      </c>
      <c r="B153" s="21" t="s">
        <v>76</v>
      </c>
      <c r="C153" s="23">
        <v>1540.98</v>
      </c>
      <c r="D153" s="22">
        <v>347.29899999999998</v>
      </c>
      <c r="E153" s="24">
        <v>0.22537541045308829</v>
      </c>
      <c r="F153" s="22">
        <v>1193.681</v>
      </c>
      <c r="G153" s="24">
        <v>0.77462458954691171</v>
      </c>
    </row>
    <row r="154" spans="1:7" ht="17.5" x14ac:dyDescent="0.55000000000000004">
      <c r="A154" s="21" t="s">
        <v>33</v>
      </c>
      <c r="B154" s="21" t="s">
        <v>16</v>
      </c>
      <c r="C154" s="23">
        <v>1490.62</v>
      </c>
      <c r="D154" s="22">
        <v>324.09199999999987</v>
      </c>
      <c r="E154" s="24">
        <v>0.21742093893815984</v>
      </c>
      <c r="F154" s="22">
        <v>1166.528</v>
      </c>
      <c r="G154" s="24">
        <v>0.78257906106184016</v>
      </c>
    </row>
    <row r="155" spans="1:7" ht="17.5" x14ac:dyDescent="0.55000000000000004">
      <c r="A155" s="21" t="s">
        <v>33</v>
      </c>
      <c r="B155" s="21" t="s">
        <v>15</v>
      </c>
      <c r="C155" s="23">
        <v>781.14</v>
      </c>
      <c r="D155" s="22">
        <v>2.4314000000000533</v>
      </c>
      <c r="E155" s="24">
        <v>3.1126302583404097E-3</v>
      </c>
      <c r="F155" s="22">
        <v>778.70859999999993</v>
      </c>
      <c r="G155" s="24">
        <v>0.99688736974165959</v>
      </c>
    </row>
    <row r="156" spans="1:7" ht="17.5" x14ac:dyDescent="0.55000000000000004">
      <c r="A156" s="21" t="s">
        <v>34</v>
      </c>
      <c r="B156" s="21" t="s">
        <v>76</v>
      </c>
      <c r="C156" s="23">
        <v>48938.53</v>
      </c>
      <c r="D156" s="22">
        <v>48938.53</v>
      </c>
      <c r="E156" s="24">
        <v>1</v>
      </c>
      <c r="F156" s="22">
        <v>0</v>
      </c>
      <c r="G156" s="24">
        <v>0</v>
      </c>
    </row>
    <row r="157" spans="1:7" ht="17.5" x14ac:dyDescent="0.55000000000000004">
      <c r="A157" s="21" t="s">
        <v>34</v>
      </c>
      <c r="B157" s="21" t="s">
        <v>12</v>
      </c>
      <c r="C157" s="23">
        <v>18833.09</v>
      </c>
      <c r="D157" s="22">
        <v>17421.909100000001</v>
      </c>
      <c r="E157" s="24">
        <v>0.92506907257385806</v>
      </c>
      <c r="F157" s="22">
        <v>1411.1808999999998</v>
      </c>
      <c r="G157" s="24">
        <v>7.4930927426141963E-2</v>
      </c>
    </row>
    <row r="158" spans="1:7" ht="17.5" x14ac:dyDescent="0.55000000000000004">
      <c r="A158" s="21" t="s">
        <v>34</v>
      </c>
      <c r="B158" s="21" t="s">
        <v>35</v>
      </c>
      <c r="C158" s="23">
        <v>6955.9</v>
      </c>
      <c r="D158" s="22">
        <v>1846.893</v>
      </c>
      <c r="E158" s="24">
        <v>0.26551459911729614</v>
      </c>
      <c r="F158" s="22">
        <v>5109.0069999999996</v>
      </c>
      <c r="G158" s="24">
        <v>0.73448540088270386</v>
      </c>
    </row>
    <row r="159" spans="1:7" ht="17.5" x14ac:dyDescent="0.55000000000000004">
      <c r="A159" s="21" t="s">
        <v>34</v>
      </c>
      <c r="B159" s="21" t="s">
        <v>14</v>
      </c>
      <c r="C159" s="23">
        <v>6616.89</v>
      </c>
      <c r="D159" s="22">
        <v>443.77403100000083</v>
      </c>
      <c r="E159" s="24">
        <v>6.706685935537704E-2</v>
      </c>
      <c r="F159" s="22">
        <v>6173.1159689999995</v>
      </c>
      <c r="G159" s="24">
        <v>0.93293314064462296</v>
      </c>
    </row>
    <row r="160" spans="1:7" ht="17.5" x14ac:dyDescent="0.55000000000000004">
      <c r="A160" s="21" t="s">
        <v>34</v>
      </c>
      <c r="B160" s="21" t="s">
        <v>15</v>
      </c>
      <c r="C160" s="23">
        <v>10996.29</v>
      </c>
      <c r="D160" s="22">
        <v>3490.3391520000005</v>
      </c>
      <c r="E160" s="24">
        <v>0.31741061321591191</v>
      </c>
      <c r="F160" s="22">
        <v>7505.9508480000004</v>
      </c>
      <c r="G160" s="24">
        <v>0.68258938678408809</v>
      </c>
    </row>
    <row r="161" spans="1:7" ht="17.5" x14ac:dyDescent="0.55000000000000004">
      <c r="A161" s="21" t="s">
        <v>34</v>
      </c>
      <c r="B161" s="21" t="s">
        <v>116</v>
      </c>
      <c r="C161" s="23">
        <v>3298.8870000000002</v>
      </c>
      <c r="D161" s="22">
        <v>3298.8870000000002</v>
      </c>
      <c r="E161" s="24">
        <v>1</v>
      </c>
      <c r="F161" s="22">
        <v>0</v>
      </c>
      <c r="G161" s="24">
        <v>0</v>
      </c>
    </row>
    <row r="162" spans="1:7" ht="17.5" x14ac:dyDescent="0.55000000000000004">
      <c r="A162" s="21" t="s">
        <v>34</v>
      </c>
      <c r="B162" s="21" t="s">
        <v>83</v>
      </c>
      <c r="C162" s="23">
        <v>3298.8870000000002</v>
      </c>
      <c r="D162" s="22">
        <v>79.206772000000001</v>
      </c>
      <c r="E162" s="24">
        <v>2.401015009001517E-2</v>
      </c>
      <c r="F162" s="22">
        <v>3219.6802280000002</v>
      </c>
      <c r="G162" s="24">
        <v>0.97598984990998483</v>
      </c>
    </row>
    <row r="163" spans="1:7" ht="17.5" x14ac:dyDescent="0.55000000000000004">
      <c r="A163" s="21" t="s">
        <v>36</v>
      </c>
      <c r="B163" s="21" t="s">
        <v>76</v>
      </c>
      <c r="C163" s="23">
        <v>83109.58</v>
      </c>
      <c r="D163" s="22">
        <v>83109.58</v>
      </c>
      <c r="E163" s="24">
        <v>1</v>
      </c>
      <c r="F163" s="22">
        <v>0</v>
      </c>
      <c r="G163" s="24">
        <v>0</v>
      </c>
    </row>
    <row r="164" spans="1:7" ht="17.5" x14ac:dyDescent="0.55000000000000004">
      <c r="A164" s="21" t="s">
        <v>36</v>
      </c>
      <c r="B164" s="21" t="s">
        <v>14</v>
      </c>
      <c r="C164" s="23">
        <v>47552.18</v>
      </c>
      <c r="D164" s="22">
        <v>3899.9688049999968</v>
      </c>
      <c r="E164" s="24">
        <v>8.201451132208859E-2</v>
      </c>
      <c r="F164" s="22">
        <v>43652.211195000003</v>
      </c>
      <c r="G164" s="24">
        <v>0.91798548867791141</v>
      </c>
    </row>
    <row r="165" spans="1:7" ht="17.5" x14ac:dyDescent="0.55000000000000004">
      <c r="A165" s="21" t="s">
        <v>36</v>
      </c>
      <c r="B165" s="21" t="s">
        <v>35</v>
      </c>
      <c r="C165" s="23">
        <v>25948.36</v>
      </c>
      <c r="D165" s="22">
        <v>6102.3189999999995</v>
      </c>
      <c r="E165" s="24">
        <v>0.23517166402809264</v>
      </c>
      <c r="F165" s="22">
        <v>19846.041000000001</v>
      </c>
      <c r="G165" s="24">
        <v>0.76482833597190736</v>
      </c>
    </row>
    <row r="166" spans="1:7" ht="17.5" x14ac:dyDescent="0.55000000000000004">
      <c r="A166" s="21" t="s">
        <v>36</v>
      </c>
      <c r="B166" s="21" t="s">
        <v>22</v>
      </c>
      <c r="C166" s="23">
        <v>15527.53</v>
      </c>
      <c r="D166" s="22">
        <v>57.649000000001251</v>
      </c>
      <c r="E166" s="24">
        <v>3.712696095258039E-3</v>
      </c>
      <c r="F166" s="22">
        <v>15469.880999999999</v>
      </c>
      <c r="G166" s="24">
        <v>0.99628730390474196</v>
      </c>
    </row>
    <row r="167" spans="1:7" ht="17.5" x14ac:dyDescent="0.55000000000000004">
      <c r="A167" s="21" t="s">
        <v>36</v>
      </c>
      <c r="B167" s="21" t="s">
        <v>15</v>
      </c>
      <c r="C167" s="23">
        <v>18347.759999999998</v>
      </c>
      <c r="D167" s="22">
        <v>6542.3523299999997</v>
      </c>
      <c r="E167" s="24">
        <v>0.35657498953550737</v>
      </c>
      <c r="F167" s="22">
        <v>11805.407669999999</v>
      </c>
      <c r="G167" s="24">
        <v>0.64342501046449263</v>
      </c>
    </row>
    <row r="168" spans="1:7" ht="17.5" x14ac:dyDescent="0.55000000000000004">
      <c r="A168" s="21" t="s">
        <v>36</v>
      </c>
      <c r="B168" s="21" t="s">
        <v>115</v>
      </c>
      <c r="C168" s="23">
        <v>5504.3280000000004</v>
      </c>
      <c r="D168" s="22">
        <v>5504.3280000000004</v>
      </c>
      <c r="E168" s="24">
        <v>1</v>
      </c>
      <c r="F168" s="22">
        <v>0</v>
      </c>
      <c r="G168" s="24">
        <v>0</v>
      </c>
    </row>
    <row r="169" spans="1:7" ht="17.5" x14ac:dyDescent="0.55000000000000004">
      <c r="A169" s="21" t="s">
        <v>36</v>
      </c>
      <c r="B169" s="21" t="s">
        <v>85</v>
      </c>
      <c r="C169" s="23">
        <v>5504.3280000000004</v>
      </c>
      <c r="D169" s="22">
        <v>930.17333000000053</v>
      </c>
      <c r="E169" s="24">
        <v>0.16898944430637131</v>
      </c>
      <c r="F169" s="22">
        <v>4574.1546699999999</v>
      </c>
      <c r="G169" s="24">
        <v>0.83101055569362869</v>
      </c>
    </row>
    <row r="170" spans="1:7" ht="17.5" x14ac:dyDescent="0.55000000000000004">
      <c r="A170" s="21" t="s">
        <v>36</v>
      </c>
      <c r="B170" s="21" t="s">
        <v>82</v>
      </c>
      <c r="C170" s="23">
        <v>5504.3280000000004</v>
      </c>
      <c r="D170" s="22">
        <v>141.03000000000065</v>
      </c>
      <c r="E170" s="24">
        <v>2.5621656267577175E-2</v>
      </c>
      <c r="F170" s="22">
        <v>5363.2979999999998</v>
      </c>
      <c r="G170" s="24">
        <v>0.97437834373242282</v>
      </c>
    </row>
    <row r="171" spans="1:7" ht="17.5" x14ac:dyDescent="0.55000000000000004">
      <c r="A171" s="21" t="s">
        <v>37</v>
      </c>
      <c r="B171" s="21" t="s">
        <v>12</v>
      </c>
      <c r="C171" s="23">
        <v>5821.62</v>
      </c>
      <c r="D171" s="22">
        <v>5821.62</v>
      </c>
      <c r="E171" s="24">
        <v>1</v>
      </c>
      <c r="F171" s="22">
        <v>0</v>
      </c>
      <c r="G171" s="24">
        <v>0</v>
      </c>
    </row>
    <row r="172" spans="1:7" ht="17.5" x14ac:dyDescent="0.55000000000000004">
      <c r="A172" s="21" t="s">
        <v>37</v>
      </c>
      <c r="B172" s="21" t="s">
        <v>14</v>
      </c>
      <c r="C172" s="23">
        <v>1850.34</v>
      </c>
      <c r="D172" s="22">
        <v>3.6669850000000679</v>
      </c>
      <c r="E172" s="24">
        <v>1.981789833219838E-3</v>
      </c>
      <c r="F172" s="22">
        <v>1846.6730149999999</v>
      </c>
      <c r="G172" s="24">
        <v>0.99801821016678016</v>
      </c>
    </row>
    <row r="173" spans="1:7" ht="17.5" x14ac:dyDescent="0.55000000000000004">
      <c r="A173" s="21" t="s">
        <v>37</v>
      </c>
      <c r="B173" s="21" t="s">
        <v>13</v>
      </c>
      <c r="C173" s="23">
        <v>1145.92</v>
      </c>
      <c r="D173" s="22">
        <v>160.03278</v>
      </c>
      <c r="E173" s="24">
        <v>0.1396544086847249</v>
      </c>
      <c r="F173" s="22">
        <v>985.88722000000007</v>
      </c>
      <c r="G173" s="24">
        <v>0.8603455913152751</v>
      </c>
    </row>
    <row r="174" spans="1:7" ht="17.5" x14ac:dyDescent="0.55000000000000004">
      <c r="A174" s="21" t="s">
        <v>37</v>
      </c>
      <c r="B174" s="21" t="s">
        <v>28</v>
      </c>
      <c r="C174" s="23">
        <v>1065.6500000000001</v>
      </c>
      <c r="D174" s="22">
        <v>16.786400000000185</v>
      </c>
      <c r="E174" s="24">
        <v>1.5752263876507522E-2</v>
      </c>
      <c r="F174" s="22">
        <v>1048.8635999999999</v>
      </c>
      <c r="G174" s="24">
        <v>0.98424773612349248</v>
      </c>
    </row>
    <row r="175" spans="1:7" ht="17.5" x14ac:dyDescent="0.55000000000000004">
      <c r="A175" s="21" t="s">
        <v>37</v>
      </c>
      <c r="B175" s="21" t="s">
        <v>16</v>
      </c>
      <c r="C175" s="23">
        <v>914.31</v>
      </c>
      <c r="D175" s="22">
        <v>144.99486999999999</v>
      </c>
      <c r="E175" s="24">
        <v>0.15858392667694765</v>
      </c>
      <c r="F175" s="22">
        <v>769.31512999999995</v>
      </c>
      <c r="G175" s="24">
        <v>0.84141607332305235</v>
      </c>
    </row>
    <row r="176" spans="1:7" ht="17.5" x14ac:dyDescent="0.55000000000000004">
      <c r="A176" s="21" t="s">
        <v>37</v>
      </c>
      <c r="B176" s="21" t="s">
        <v>15</v>
      </c>
      <c r="C176" s="23">
        <v>2660.23</v>
      </c>
      <c r="D176" s="22">
        <v>239.39641900000015</v>
      </c>
      <c r="E176" s="24">
        <v>8.9990872593723181E-2</v>
      </c>
      <c r="F176" s="22">
        <v>2420.8335809999999</v>
      </c>
      <c r="G176" s="24">
        <v>0.91000912740627682</v>
      </c>
    </row>
    <row r="177" spans="1:7" ht="17.5" x14ac:dyDescent="0.55000000000000004">
      <c r="A177" s="21" t="s">
        <v>38</v>
      </c>
      <c r="B177" s="21" t="s">
        <v>16</v>
      </c>
      <c r="C177" s="23">
        <v>34005.050000000003</v>
      </c>
      <c r="D177" s="22">
        <v>34005.050000000003</v>
      </c>
      <c r="E177" s="24">
        <v>1</v>
      </c>
      <c r="F177" s="22">
        <v>0</v>
      </c>
      <c r="G177" s="24">
        <v>0</v>
      </c>
    </row>
    <row r="178" spans="1:7" ht="17.5" x14ac:dyDescent="0.55000000000000004">
      <c r="A178" s="21" t="s">
        <v>38</v>
      </c>
      <c r="B178" s="21" t="s">
        <v>14</v>
      </c>
      <c r="C178" s="23">
        <v>10773.65</v>
      </c>
      <c r="D178" s="22">
        <v>62.807178999999451</v>
      </c>
      <c r="E178" s="24">
        <v>5.829702932617975E-3</v>
      </c>
      <c r="F178" s="22">
        <v>10710.842821</v>
      </c>
      <c r="G178" s="24">
        <v>0.99417029706738202</v>
      </c>
    </row>
    <row r="179" spans="1:7" ht="17.5" x14ac:dyDescent="0.55000000000000004">
      <c r="A179" s="21" t="s">
        <v>38</v>
      </c>
      <c r="B179" s="21" t="s">
        <v>19</v>
      </c>
      <c r="C179" s="23">
        <v>7570.85</v>
      </c>
      <c r="D179" s="22">
        <v>12.050461000000723</v>
      </c>
      <c r="E179" s="24">
        <v>1.5916919500453819E-3</v>
      </c>
      <c r="F179" s="22">
        <v>7558.7995389999996</v>
      </c>
      <c r="G179" s="24">
        <v>0.99840830804995462</v>
      </c>
    </row>
    <row r="180" spans="1:7" ht="17.5" x14ac:dyDescent="0.55000000000000004">
      <c r="A180" s="21" t="s">
        <v>38</v>
      </c>
      <c r="B180" s="21" t="s">
        <v>15</v>
      </c>
      <c r="C180" s="23">
        <v>41739.300000000003</v>
      </c>
      <c r="D180" s="22">
        <v>2936.4929669999983</v>
      </c>
      <c r="E180" s="24">
        <v>7.0353191524534342E-2</v>
      </c>
      <c r="F180" s="22">
        <v>38802.807033000005</v>
      </c>
      <c r="G180" s="24">
        <v>0.92964680847546566</v>
      </c>
    </row>
    <row r="181" spans="1:7" ht="17.5" x14ac:dyDescent="0.55000000000000004">
      <c r="A181" s="21" t="s">
        <v>77</v>
      </c>
      <c r="B181" s="21" t="s">
        <v>15</v>
      </c>
      <c r="C181" s="23">
        <v>119057.14</v>
      </c>
      <c r="D181" s="22">
        <v>9010.8479999999981</v>
      </c>
      <c r="E181" s="24">
        <v>7.5685070210824823E-2</v>
      </c>
      <c r="F181" s="22">
        <v>110046.292</v>
      </c>
      <c r="G181" s="24">
        <v>0.92431492978917518</v>
      </c>
    </row>
    <row r="182" spans="1:7" ht="17.5" x14ac:dyDescent="0.55000000000000004">
      <c r="A182" s="21" t="s">
        <v>117</v>
      </c>
      <c r="B182" s="21" t="s">
        <v>76</v>
      </c>
      <c r="C182" s="23">
        <v>14782.39</v>
      </c>
      <c r="D182" s="22">
        <v>14782.39</v>
      </c>
      <c r="E182" s="24">
        <v>1</v>
      </c>
      <c r="F182" s="22">
        <v>0</v>
      </c>
      <c r="G182" s="24">
        <v>0</v>
      </c>
    </row>
    <row r="183" spans="1:7" ht="17.5" x14ac:dyDescent="0.55000000000000004">
      <c r="A183" s="21" t="s">
        <v>117</v>
      </c>
      <c r="B183" s="21" t="s">
        <v>16</v>
      </c>
      <c r="C183" s="23">
        <v>8367.2099999999991</v>
      </c>
      <c r="D183" s="22">
        <v>5673.1288999999997</v>
      </c>
      <c r="E183" s="24">
        <v>0.6780191844115302</v>
      </c>
      <c r="F183" s="22">
        <v>2694.0810999999999</v>
      </c>
      <c r="G183" s="24">
        <v>0.32198081558846975</v>
      </c>
    </row>
    <row r="184" spans="1:7" ht="17.5" x14ac:dyDescent="0.55000000000000004">
      <c r="A184" s="21" t="s">
        <v>117</v>
      </c>
      <c r="B184" s="21" t="s">
        <v>14</v>
      </c>
      <c r="C184" s="23">
        <v>6072.61</v>
      </c>
      <c r="D184" s="22">
        <v>132.8149999999996</v>
      </c>
      <c r="E184" s="24">
        <v>2.1871155895076377E-2</v>
      </c>
      <c r="F184" s="22">
        <v>5939.7950000000001</v>
      </c>
      <c r="G184" s="24">
        <v>0.97812884410492362</v>
      </c>
    </row>
    <row r="185" spans="1:7" ht="17.5" x14ac:dyDescent="0.55000000000000004">
      <c r="A185" s="21" t="s">
        <v>117</v>
      </c>
      <c r="B185" s="21" t="s">
        <v>13</v>
      </c>
      <c r="C185" s="23">
        <v>2860.7</v>
      </c>
      <c r="D185" s="22">
        <v>0</v>
      </c>
      <c r="E185" s="24">
        <v>0</v>
      </c>
      <c r="F185" s="22">
        <v>2860.7</v>
      </c>
      <c r="G185" s="24">
        <v>1</v>
      </c>
    </row>
    <row r="186" spans="1:7" ht="17.5" x14ac:dyDescent="0.55000000000000004">
      <c r="A186" s="21" t="s">
        <v>117</v>
      </c>
      <c r="B186" s="21" t="s">
        <v>15</v>
      </c>
      <c r="C186" s="23">
        <v>6429.79</v>
      </c>
      <c r="D186" s="22">
        <v>1946.9300000000003</v>
      </c>
      <c r="E186" s="24">
        <v>0.30279838066250997</v>
      </c>
      <c r="F186" s="22">
        <v>4482.8599999999997</v>
      </c>
      <c r="G186" s="24">
        <v>0.69720161933749003</v>
      </c>
    </row>
    <row r="187" spans="1:7" ht="17.5" x14ac:dyDescent="0.55000000000000004">
      <c r="A187" s="21" t="s">
        <v>117</v>
      </c>
      <c r="B187" s="21" t="s">
        <v>81</v>
      </c>
      <c r="C187" s="23">
        <v>1928.9369999999999</v>
      </c>
      <c r="D187" s="22">
        <v>1928.9369999999999</v>
      </c>
      <c r="E187" s="24">
        <v>1</v>
      </c>
      <c r="F187" s="22">
        <v>0</v>
      </c>
      <c r="G187" s="24">
        <v>0</v>
      </c>
    </row>
    <row r="188" spans="1:7" ht="17.5" x14ac:dyDescent="0.55000000000000004">
      <c r="A188" s="21" t="s">
        <v>39</v>
      </c>
      <c r="B188" s="21" t="s">
        <v>22</v>
      </c>
      <c r="C188" s="23">
        <v>47598.49</v>
      </c>
      <c r="D188" s="22">
        <v>361.63887399999658</v>
      </c>
      <c r="E188" s="24">
        <v>7.5976963554935661E-3</v>
      </c>
      <c r="F188" s="22">
        <v>47236.851126000001</v>
      </c>
      <c r="G188" s="24">
        <v>0.99240230364450643</v>
      </c>
    </row>
    <row r="189" spans="1:7" ht="17.5" x14ac:dyDescent="0.55000000000000004">
      <c r="A189" s="21" t="s">
        <v>39</v>
      </c>
      <c r="B189" s="21" t="s">
        <v>76</v>
      </c>
      <c r="C189" s="23">
        <v>37698.01</v>
      </c>
      <c r="D189" s="22">
        <v>31567.689560000003</v>
      </c>
      <c r="E189" s="24">
        <v>0.8373834470307584</v>
      </c>
      <c r="F189" s="22">
        <v>6130.3204400000004</v>
      </c>
      <c r="G189" s="24">
        <v>0.1626165529692416</v>
      </c>
    </row>
    <row r="190" spans="1:7" ht="17.5" x14ac:dyDescent="0.55000000000000004">
      <c r="A190" s="21" t="s">
        <v>39</v>
      </c>
      <c r="B190" s="21" t="s">
        <v>14</v>
      </c>
      <c r="C190" s="23">
        <v>11512.01</v>
      </c>
      <c r="D190" s="22">
        <v>871.96863000000121</v>
      </c>
      <c r="E190" s="24">
        <v>7.5744255781570846E-2</v>
      </c>
      <c r="F190" s="22">
        <v>10640.041369999999</v>
      </c>
      <c r="G190" s="24">
        <v>0.92425574421842915</v>
      </c>
    </row>
    <row r="191" spans="1:7" ht="17.5" x14ac:dyDescent="0.55000000000000004">
      <c r="A191" s="21" t="s">
        <v>39</v>
      </c>
      <c r="B191" s="21" t="s">
        <v>17</v>
      </c>
      <c r="C191" s="23">
        <v>8919.6</v>
      </c>
      <c r="D191" s="22">
        <v>1768.4887850000005</v>
      </c>
      <c r="E191" s="24">
        <v>0.1982699655814163</v>
      </c>
      <c r="F191" s="22">
        <v>7151.1112149999999</v>
      </c>
      <c r="G191" s="24">
        <v>0.8017300344185837</v>
      </c>
    </row>
    <row r="192" spans="1:7" ht="17.5" x14ac:dyDescent="0.55000000000000004">
      <c r="A192" s="21" t="s">
        <v>39</v>
      </c>
      <c r="B192" s="21" t="s">
        <v>16</v>
      </c>
      <c r="C192" s="23">
        <v>7992.12</v>
      </c>
      <c r="D192" s="22">
        <v>8055.5370000000003</v>
      </c>
      <c r="E192" s="24">
        <v>1.007934940916803</v>
      </c>
      <c r="F192" s="22">
        <v>-63.417000000000002</v>
      </c>
      <c r="G192" s="24">
        <v>-7.9349409168030516E-3</v>
      </c>
    </row>
    <row r="193" spans="1:7" ht="17.5" x14ac:dyDescent="0.55000000000000004">
      <c r="A193" s="21" t="s">
        <v>39</v>
      </c>
      <c r="B193" s="21" t="s">
        <v>15</v>
      </c>
      <c r="C193" s="23">
        <v>19850.72</v>
      </c>
      <c r="D193" s="22">
        <v>6871.6474420000013</v>
      </c>
      <c r="E193" s="24">
        <v>0.3461661562905527</v>
      </c>
      <c r="F193" s="22">
        <v>12979.072558</v>
      </c>
      <c r="G193" s="24">
        <v>0.6538338437094473</v>
      </c>
    </row>
    <row r="194" spans="1:7" ht="17.5" x14ac:dyDescent="0.55000000000000004">
      <c r="A194" s="21" t="s">
        <v>39</v>
      </c>
      <c r="B194" s="21" t="s">
        <v>114</v>
      </c>
      <c r="C194" s="23">
        <v>5955.2160000000003</v>
      </c>
      <c r="D194" s="22">
        <v>5955.2160000000003</v>
      </c>
      <c r="E194" s="24">
        <v>1</v>
      </c>
      <c r="F194" s="22">
        <v>0</v>
      </c>
      <c r="G194" s="24">
        <v>0</v>
      </c>
    </row>
    <row r="195" spans="1:7" ht="17.5" x14ac:dyDescent="0.55000000000000004">
      <c r="A195" s="21" t="s">
        <v>39</v>
      </c>
      <c r="B195" s="21" t="s">
        <v>85</v>
      </c>
      <c r="C195" s="23">
        <v>5955.2160000000003</v>
      </c>
      <c r="D195" s="22">
        <v>612.30600000000049</v>
      </c>
      <c r="E195" s="24">
        <v>0.10281843681236758</v>
      </c>
      <c r="F195" s="22">
        <v>5342.91</v>
      </c>
      <c r="G195" s="24">
        <v>0.89718156318763242</v>
      </c>
    </row>
    <row r="196" spans="1:7" ht="17.5" x14ac:dyDescent="0.55000000000000004">
      <c r="A196" s="21" t="s">
        <v>39</v>
      </c>
      <c r="B196" s="21" t="s">
        <v>83</v>
      </c>
      <c r="C196" s="23">
        <v>5955.2160000000003</v>
      </c>
      <c r="D196" s="22">
        <v>337.42144600000029</v>
      </c>
      <c r="E196" s="24">
        <v>5.6659816537301122E-2</v>
      </c>
      <c r="F196" s="22">
        <v>5617.7945540000001</v>
      </c>
      <c r="G196" s="24">
        <v>0.94334018346269888</v>
      </c>
    </row>
    <row r="197" spans="1:7" ht="17.5" x14ac:dyDescent="0.55000000000000004">
      <c r="A197" s="21" t="s">
        <v>40</v>
      </c>
      <c r="B197" s="21" t="s">
        <v>22</v>
      </c>
      <c r="C197" s="23">
        <v>41744.550000000003</v>
      </c>
      <c r="D197" s="22">
        <v>1176.8443400000033</v>
      </c>
      <c r="E197" s="24">
        <v>2.8191568480196882E-2</v>
      </c>
      <c r="F197" s="22">
        <v>40567.70566</v>
      </c>
      <c r="G197" s="24">
        <v>0.97180843151980312</v>
      </c>
    </row>
    <row r="198" spans="1:7" ht="17.5" x14ac:dyDescent="0.55000000000000004">
      <c r="A198" s="21" t="s">
        <v>40</v>
      </c>
      <c r="B198" s="21" t="s">
        <v>14</v>
      </c>
      <c r="C198" s="23">
        <v>25183.37</v>
      </c>
      <c r="D198" s="22">
        <v>149.81100000000151</v>
      </c>
      <c r="E198" s="24">
        <v>5.9488066926706162E-3</v>
      </c>
      <c r="F198" s="22">
        <v>25033.558999999997</v>
      </c>
      <c r="G198" s="24">
        <v>0.99405119330732938</v>
      </c>
    </row>
    <row r="199" spans="1:7" ht="17.5" x14ac:dyDescent="0.55000000000000004">
      <c r="A199" s="21" t="s">
        <v>40</v>
      </c>
      <c r="B199" s="21" t="s">
        <v>16</v>
      </c>
      <c r="C199" s="23">
        <v>26640.880000000001</v>
      </c>
      <c r="D199" s="22">
        <v>3301.0968990000038</v>
      </c>
      <c r="E199" s="24">
        <v>0.12391095560657173</v>
      </c>
      <c r="F199" s="22">
        <v>23339.783100999997</v>
      </c>
      <c r="G199" s="24">
        <v>0.87608904439342827</v>
      </c>
    </row>
    <row r="200" spans="1:7" ht="17.5" x14ac:dyDescent="0.55000000000000004">
      <c r="A200" s="21" t="s">
        <v>40</v>
      </c>
      <c r="B200" s="21" t="s">
        <v>15</v>
      </c>
      <c r="C200" s="23">
        <v>31234.69</v>
      </c>
      <c r="D200" s="22">
        <v>2938.5064439999987</v>
      </c>
      <c r="E200" s="24">
        <v>9.4078297047289317E-2</v>
      </c>
      <c r="F200" s="22">
        <v>28296.183556</v>
      </c>
      <c r="G200" s="24">
        <v>0.90592170295271068</v>
      </c>
    </row>
    <row r="201" spans="1:7" ht="17.5" x14ac:dyDescent="0.55000000000000004">
      <c r="A201" s="21" t="s">
        <v>41</v>
      </c>
      <c r="B201" s="21" t="s">
        <v>16</v>
      </c>
      <c r="C201" s="23">
        <v>78169.509999999995</v>
      </c>
      <c r="D201" s="22">
        <v>13359.22752</v>
      </c>
      <c r="E201" s="24">
        <v>0.1709007453161725</v>
      </c>
      <c r="F201" s="22">
        <v>64810.282479999994</v>
      </c>
      <c r="G201" s="24">
        <v>0.8290992546838275</v>
      </c>
    </row>
    <row r="202" spans="1:7" ht="17.5" x14ac:dyDescent="0.55000000000000004">
      <c r="A202" s="21" t="s">
        <v>41</v>
      </c>
      <c r="B202" s="21" t="s">
        <v>76</v>
      </c>
      <c r="C202" s="23">
        <v>50867.54</v>
      </c>
      <c r="D202" s="22">
        <v>8175.2591209999955</v>
      </c>
      <c r="E202" s="24">
        <v>0.16071662048135205</v>
      </c>
      <c r="F202" s="22">
        <v>42692.280879000005</v>
      </c>
      <c r="G202" s="24">
        <v>0.83928337951864795</v>
      </c>
    </row>
    <row r="203" spans="1:7" ht="17.5" x14ac:dyDescent="0.55000000000000004">
      <c r="A203" s="21" t="s">
        <v>41</v>
      </c>
      <c r="B203" s="21" t="s">
        <v>15</v>
      </c>
      <c r="C203" s="23">
        <v>48905.36</v>
      </c>
      <c r="D203" s="22">
        <v>1795.1835649999994</v>
      </c>
      <c r="E203" s="24">
        <v>3.6707296807548251E-2</v>
      </c>
      <c r="F203" s="22">
        <v>47110.176435000001</v>
      </c>
      <c r="G203" s="24">
        <v>0.96329270319245175</v>
      </c>
    </row>
    <row r="204" spans="1:7" ht="17.5" x14ac:dyDescent="0.55000000000000004">
      <c r="A204" s="21" t="s">
        <v>73</v>
      </c>
      <c r="B204" s="21" t="s">
        <v>74</v>
      </c>
      <c r="C204" s="23">
        <v>2998324</v>
      </c>
      <c r="D204" s="22">
        <v>1470959.5520000001</v>
      </c>
      <c r="E204" s="24">
        <v>0.49059392914174726</v>
      </c>
      <c r="F204" s="22">
        <v>1527364.4479999999</v>
      </c>
      <c r="G204" s="24">
        <v>0.50940607085825274</v>
      </c>
    </row>
  </sheetData>
  <sheetProtection sheet="1" selectLockedCells="1" sort="0" autoFilter="0" pivotTables="0"/>
  <protectedRanges>
    <protectedRange sqref="A15:G204" name="Range1"/>
  </protectedRanges>
  <mergeCells count="1">
    <mergeCell ref="D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7FC3-C41E-4C3F-8791-BAE4616981AD}">
  <dimension ref="A1:G86"/>
  <sheetViews>
    <sheetView showGridLines="0" zoomScale="80" zoomScaleNormal="80" workbookViewId="0">
      <selection activeCell="A15" sqref="A15"/>
    </sheetView>
  </sheetViews>
  <sheetFormatPr defaultColWidth="9.1796875" defaultRowHeight="16.5" x14ac:dyDescent="0.55000000000000004"/>
  <cols>
    <col min="1" max="1" width="64.1796875" style="1" customWidth="1"/>
    <col min="2" max="2" width="22.54296875" style="1" customWidth="1"/>
    <col min="3" max="3" width="17.7265625" style="1" customWidth="1"/>
    <col min="4" max="4" width="17.26953125" style="1" customWidth="1"/>
    <col min="5" max="7" width="36.1796875" style="1" customWidth="1"/>
    <col min="8" max="16384" width="9.1796875" style="1"/>
  </cols>
  <sheetData>
    <row r="1" spans="1:7" ht="54.75" customHeight="1" x14ac:dyDescent="1.35">
      <c r="A1" s="25" t="s">
        <v>48</v>
      </c>
      <c r="B1" s="4"/>
      <c r="C1" s="5"/>
      <c r="D1" s="5"/>
      <c r="E1" s="5"/>
      <c r="F1" s="6"/>
      <c r="G1" s="5"/>
    </row>
    <row r="2" spans="1:7" ht="20.149999999999999" customHeight="1" x14ac:dyDescent="0.8">
      <c r="A2" s="7" t="s">
        <v>125</v>
      </c>
      <c r="B2" s="7"/>
      <c r="C2" s="5"/>
      <c r="D2" s="5"/>
      <c r="E2" s="5"/>
      <c r="F2" s="5"/>
      <c r="G2" s="5"/>
    </row>
    <row r="3" spans="1:7" ht="20.149999999999999" customHeight="1" x14ac:dyDescent="0.8">
      <c r="A3" s="7" t="s">
        <v>127</v>
      </c>
      <c r="B3" s="7"/>
      <c r="C3" s="5"/>
      <c r="D3" s="5"/>
      <c r="E3" s="5"/>
      <c r="F3" s="5"/>
      <c r="G3" s="5"/>
    </row>
    <row r="4" spans="1:7" ht="20.149999999999999" customHeight="1" x14ac:dyDescent="0.8">
      <c r="A4" s="6"/>
      <c r="B4" s="7"/>
      <c r="C4" s="5"/>
      <c r="D4" s="5"/>
      <c r="E4" s="5"/>
      <c r="F4" s="5"/>
      <c r="G4" s="5"/>
    </row>
    <row r="5" spans="1:7" ht="24" customHeight="1" x14ac:dyDescent="0.8">
      <c r="A5" s="12"/>
      <c r="B5" s="3"/>
      <c r="E5" s="27" t="s">
        <v>126</v>
      </c>
      <c r="F5" s="27"/>
      <c r="G5" s="27"/>
    </row>
    <row r="6" spans="1:7" ht="24" customHeight="1" x14ac:dyDescent="0.8">
      <c r="A6" s="2"/>
      <c r="B6" s="3"/>
      <c r="E6" s="27"/>
      <c r="F6" s="27"/>
      <c r="G6" s="27"/>
    </row>
    <row r="7" spans="1:7" ht="24" customHeight="1" x14ac:dyDescent="0.8">
      <c r="A7" s="2"/>
      <c r="B7" s="3"/>
      <c r="E7" s="27"/>
      <c r="F7" s="27"/>
      <c r="G7" s="27"/>
    </row>
    <row r="8" spans="1:7" ht="24" x14ac:dyDescent="0.8">
      <c r="A8" s="2"/>
      <c r="B8" s="3"/>
      <c r="E8" s="27"/>
      <c r="F8" s="27"/>
      <c r="G8" s="27"/>
    </row>
    <row r="9" spans="1:7" ht="24" x14ac:dyDescent="0.8">
      <c r="A9" s="2"/>
      <c r="B9" s="3"/>
      <c r="E9" s="27"/>
      <c r="F9" s="27"/>
      <c r="G9" s="27"/>
    </row>
    <row r="10" spans="1:7" ht="24" x14ac:dyDescent="0.8">
      <c r="A10" s="2"/>
      <c r="B10" s="3"/>
      <c r="E10" s="27"/>
      <c r="F10" s="27"/>
      <c r="G10" s="27"/>
    </row>
    <row r="11" spans="1:7" ht="24" x14ac:dyDescent="0.8">
      <c r="A11" s="2"/>
      <c r="B11" s="3"/>
      <c r="E11" s="27"/>
      <c r="F11" s="27"/>
      <c r="G11" s="27"/>
    </row>
    <row r="12" spans="1:7" ht="24" x14ac:dyDescent="0.8">
      <c r="A12" s="2"/>
      <c r="B12" s="3"/>
      <c r="E12" s="27"/>
      <c r="F12" s="27"/>
      <c r="G12" s="27"/>
    </row>
    <row r="13" spans="1:7" ht="24" x14ac:dyDescent="0.8">
      <c r="A13" s="2"/>
      <c r="B13" s="3"/>
      <c r="E13" s="27"/>
      <c r="F13" s="27"/>
      <c r="G13" s="27"/>
    </row>
    <row r="14" spans="1:7" ht="24" x14ac:dyDescent="0.8">
      <c r="A14" s="2"/>
      <c r="B14" s="3"/>
      <c r="E14" s="27"/>
      <c r="F14" s="27"/>
      <c r="G14" s="27"/>
    </row>
    <row r="15" spans="1:7" ht="48.65" customHeight="1" x14ac:dyDescent="0.55000000000000004">
      <c r="A15" s="17" t="s">
        <v>0</v>
      </c>
      <c r="B15" s="13" t="s">
        <v>9</v>
      </c>
      <c r="C15" s="18" t="s">
        <v>50</v>
      </c>
      <c r="D15" s="18" t="s">
        <v>68</v>
      </c>
      <c r="E15" s="18" t="s">
        <v>3</v>
      </c>
      <c r="F15" s="18" t="s">
        <v>1</v>
      </c>
      <c r="G15" s="18" t="s">
        <v>2</v>
      </c>
    </row>
    <row r="16" spans="1:7" ht="17.5" x14ac:dyDescent="0.55000000000000004">
      <c r="A16" s="14" t="s">
        <v>104</v>
      </c>
      <c r="B16" s="14" t="s">
        <v>51</v>
      </c>
      <c r="C16" s="22">
        <v>183592</v>
      </c>
      <c r="D16" s="22">
        <v>13585.330740000005</v>
      </c>
      <c r="E16" s="15">
        <v>7.3997400431391358E-2</v>
      </c>
      <c r="F16" s="22">
        <v>170006.66926</v>
      </c>
      <c r="G16" s="15">
        <v>0.92600259956860864</v>
      </c>
    </row>
    <row r="17" spans="1:7" ht="17.5" x14ac:dyDescent="0.55000000000000004">
      <c r="A17" s="14" t="s">
        <v>104</v>
      </c>
      <c r="B17" s="14" t="s">
        <v>11</v>
      </c>
      <c r="C17" s="22">
        <v>24105</v>
      </c>
      <c r="D17" s="22">
        <v>4437.9350000000013</v>
      </c>
      <c r="E17" s="15">
        <v>0.18410848371707123</v>
      </c>
      <c r="F17" s="22">
        <v>19667.064999999999</v>
      </c>
      <c r="G17" s="15">
        <v>0.81589151628292877</v>
      </c>
    </row>
    <row r="18" spans="1:7" ht="17.5" x14ac:dyDescent="0.55000000000000004">
      <c r="A18" s="14" t="s">
        <v>104</v>
      </c>
      <c r="B18" s="14" t="s">
        <v>17</v>
      </c>
      <c r="C18" s="22">
        <v>13420</v>
      </c>
      <c r="D18" s="22">
        <v>5190.5200000000004</v>
      </c>
      <c r="E18" s="15">
        <v>0.38677496274217593</v>
      </c>
      <c r="F18" s="22">
        <v>8229.48</v>
      </c>
      <c r="G18" s="15">
        <v>0.61322503725782407</v>
      </c>
    </row>
    <row r="19" spans="1:7" ht="17.5" x14ac:dyDescent="0.55000000000000004">
      <c r="A19" s="14" t="s">
        <v>104</v>
      </c>
      <c r="B19" s="14" t="s">
        <v>52</v>
      </c>
      <c r="C19" s="22">
        <v>23097</v>
      </c>
      <c r="D19" s="22">
        <v>14231.48667</v>
      </c>
      <c r="E19" s="15">
        <v>0.61616169502532792</v>
      </c>
      <c r="F19" s="22">
        <v>8865.5133299999998</v>
      </c>
      <c r="G19" s="15">
        <v>0.38383830497467203</v>
      </c>
    </row>
    <row r="20" spans="1:7" ht="17.5" x14ac:dyDescent="0.55000000000000004">
      <c r="A20" s="14" t="s">
        <v>105</v>
      </c>
      <c r="B20" s="14" t="s">
        <v>52</v>
      </c>
      <c r="C20" s="22">
        <v>566577</v>
      </c>
      <c r="D20" s="22">
        <v>26903.689999999944</v>
      </c>
      <c r="E20" s="15">
        <v>4.7484613741821446E-2</v>
      </c>
      <c r="F20" s="22">
        <v>539673.31000000006</v>
      </c>
      <c r="G20" s="15">
        <v>0.95251538625817855</v>
      </c>
    </row>
    <row r="21" spans="1:7" ht="17.5" x14ac:dyDescent="0.55000000000000004">
      <c r="A21" s="14" t="s">
        <v>53</v>
      </c>
      <c r="B21" s="14" t="s">
        <v>51</v>
      </c>
      <c r="C21" s="22">
        <v>317107</v>
      </c>
      <c r="D21" s="22">
        <v>20485.982776000048</v>
      </c>
      <c r="E21" s="15">
        <v>6.4602745369859549E-2</v>
      </c>
      <c r="F21" s="22">
        <v>296621.01722399995</v>
      </c>
      <c r="G21" s="15">
        <v>0.93539725463014045</v>
      </c>
    </row>
    <row r="22" spans="1:7" ht="17.5" x14ac:dyDescent="0.55000000000000004">
      <c r="A22" s="14" t="s">
        <v>53</v>
      </c>
      <c r="B22" s="14" t="s">
        <v>17</v>
      </c>
      <c r="C22" s="22">
        <v>32785</v>
      </c>
      <c r="D22" s="22">
        <v>16811.705000000002</v>
      </c>
      <c r="E22" s="15">
        <v>0.51278648772304414</v>
      </c>
      <c r="F22" s="22">
        <v>15973.295</v>
      </c>
      <c r="G22" s="15">
        <v>0.48721351227695592</v>
      </c>
    </row>
    <row r="23" spans="1:7" ht="17.5" x14ac:dyDescent="0.55000000000000004">
      <c r="A23" s="14" t="s">
        <v>53</v>
      </c>
      <c r="B23" s="14" t="s">
        <v>12</v>
      </c>
      <c r="C23" s="22">
        <v>24213</v>
      </c>
      <c r="D23" s="22">
        <v>196.41651999999885</v>
      </c>
      <c r="E23" s="15">
        <v>8.1120274232849843E-3</v>
      </c>
      <c r="F23" s="22">
        <v>24016.583480000001</v>
      </c>
      <c r="G23" s="15">
        <v>0.99188797257671502</v>
      </c>
    </row>
    <row r="24" spans="1:7" ht="17.5" x14ac:dyDescent="0.55000000000000004">
      <c r="A24" s="14" t="s">
        <v>53</v>
      </c>
      <c r="B24" s="14" t="s">
        <v>52</v>
      </c>
      <c r="C24" s="22">
        <v>83735</v>
      </c>
      <c r="D24" s="22">
        <v>25013.991998000005</v>
      </c>
      <c r="E24" s="15">
        <v>0.29872803484803256</v>
      </c>
      <c r="F24" s="22">
        <v>58721.008001999995</v>
      </c>
      <c r="G24" s="15">
        <v>0.70127196515196744</v>
      </c>
    </row>
    <row r="25" spans="1:7" ht="17.5" x14ac:dyDescent="0.55000000000000004">
      <c r="A25" s="14" t="s">
        <v>53</v>
      </c>
      <c r="B25" s="14" t="s">
        <v>91</v>
      </c>
      <c r="C25" s="22">
        <v>12560</v>
      </c>
      <c r="D25" s="22">
        <v>12559.999997000001</v>
      </c>
      <c r="E25" s="15">
        <v>0.99999999976114651</v>
      </c>
      <c r="F25" s="22">
        <v>3.0000000000000001E-6</v>
      </c>
      <c r="G25" s="15">
        <v>2.3885350318471338E-10</v>
      </c>
    </row>
    <row r="26" spans="1:7" ht="17.5" x14ac:dyDescent="0.55000000000000004">
      <c r="A26" s="14" t="s">
        <v>53</v>
      </c>
      <c r="B26" s="14" t="s">
        <v>118</v>
      </c>
      <c r="C26" s="22">
        <v>12560</v>
      </c>
      <c r="D26" s="22">
        <v>12115.512000000001</v>
      </c>
      <c r="E26" s="15">
        <v>0.96461082802547771</v>
      </c>
      <c r="F26" s="22">
        <v>444.488</v>
      </c>
      <c r="G26" s="15">
        <v>3.5389171974522293E-2</v>
      </c>
    </row>
    <row r="27" spans="1:7" ht="17.5" x14ac:dyDescent="0.55000000000000004">
      <c r="A27" s="14" t="s">
        <v>53</v>
      </c>
      <c r="B27" s="14" t="s">
        <v>79</v>
      </c>
      <c r="C27" s="22">
        <v>12560</v>
      </c>
      <c r="D27" s="22">
        <v>338.47999999999956</v>
      </c>
      <c r="E27" s="15">
        <v>2.6949044585987236E-2</v>
      </c>
      <c r="F27" s="22">
        <v>12221.52</v>
      </c>
      <c r="G27" s="15">
        <v>0.97305095541401276</v>
      </c>
    </row>
    <row r="28" spans="1:7" ht="17.5" x14ac:dyDescent="0.55000000000000004">
      <c r="A28" s="14" t="s">
        <v>53</v>
      </c>
      <c r="B28" s="14" t="s">
        <v>95</v>
      </c>
      <c r="C28" s="22">
        <v>12560</v>
      </c>
      <c r="D28" s="22">
        <v>0</v>
      </c>
      <c r="E28" s="15">
        <v>0</v>
      </c>
      <c r="F28" s="22">
        <v>12560</v>
      </c>
      <c r="G28" s="15">
        <v>1</v>
      </c>
    </row>
    <row r="29" spans="1:7" ht="17.5" x14ac:dyDescent="0.55000000000000004">
      <c r="A29" s="14" t="s">
        <v>53</v>
      </c>
      <c r="B29" s="14" t="s">
        <v>119</v>
      </c>
      <c r="C29" s="22">
        <v>12560</v>
      </c>
      <c r="D29" s="22">
        <v>0</v>
      </c>
      <c r="E29" s="15">
        <v>0</v>
      </c>
      <c r="F29" s="22">
        <v>12560</v>
      </c>
      <c r="G29" s="15">
        <v>1</v>
      </c>
    </row>
    <row r="30" spans="1:7" ht="17.5" x14ac:dyDescent="0.55000000000000004">
      <c r="A30" s="14" t="s">
        <v>53</v>
      </c>
      <c r="B30" s="14" t="s">
        <v>97</v>
      </c>
      <c r="C30" s="22">
        <v>12560</v>
      </c>
      <c r="D30" s="22">
        <v>0</v>
      </c>
      <c r="E30" s="15">
        <v>0</v>
      </c>
      <c r="F30" s="22">
        <v>12560</v>
      </c>
      <c r="G30" s="15">
        <v>1</v>
      </c>
    </row>
    <row r="31" spans="1:7" ht="17.5" x14ac:dyDescent="0.55000000000000004">
      <c r="A31" s="14" t="s">
        <v>54</v>
      </c>
      <c r="B31" s="14" t="s">
        <v>51</v>
      </c>
      <c r="C31" s="22">
        <v>35886</v>
      </c>
      <c r="D31" s="22">
        <v>3833.1993399999992</v>
      </c>
      <c r="E31" s="15">
        <v>0.10681601014323128</v>
      </c>
      <c r="F31" s="22">
        <v>32052.800660000001</v>
      </c>
      <c r="G31" s="15">
        <v>0.89318398985676872</v>
      </c>
    </row>
    <row r="32" spans="1:7" ht="17.5" x14ac:dyDescent="0.55000000000000004">
      <c r="A32" s="14" t="s">
        <v>54</v>
      </c>
      <c r="B32" s="14" t="s">
        <v>86</v>
      </c>
      <c r="C32" s="22">
        <v>14583</v>
      </c>
      <c r="D32" s="22">
        <v>11602.826778000001</v>
      </c>
      <c r="E32" s="15">
        <v>0.79564059370499896</v>
      </c>
      <c r="F32" s="22">
        <v>2980.1732219999999</v>
      </c>
      <c r="G32" s="15">
        <v>0.20435940629500102</v>
      </c>
    </row>
    <row r="33" spans="1:7" ht="17.5" x14ac:dyDescent="0.55000000000000004">
      <c r="A33" s="14" t="s">
        <v>54</v>
      </c>
      <c r="B33" s="14" t="s">
        <v>52</v>
      </c>
      <c r="C33" s="22">
        <v>2180</v>
      </c>
      <c r="D33" s="22">
        <v>256.36599999999999</v>
      </c>
      <c r="E33" s="15">
        <v>0.11759908256880736</v>
      </c>
      <c r="F33" s="22">
        <v>1923.634</v>
      </c>
      <c r="G33" s="15">
        <v>0.88240091743119264</v>
      </c>
    </row>
    <row r="34" spans="1:7" ht="17.5" x14ac:dyDescent="0.55000000000000004">
      <c r="A34" s="14" t="s">
        <v>18</v>
      </c>
      <c r="B34" s="14" t="s">
        <v>51</v>
      </c>
      <c r="C34" s="22">
        <v>31290</v>
      </c>
      <c r="D34" s="22">
        <v>580.6502619999992</v>
      </c>
      <c r="E34" s="15">
        <v>1.8557055353148E-2</v>
      </c>
      <c r="F34" s="22">
        <v>30709.349738000001</v>
      </c>
      <c r="G34" s="15">
        <v>0.981442944646852</v>
      </c>
    </row>
    <row r="35" spans="1:7" ht="17.5" x14ac:dyDescent="0.55000000000000004">
      <c r="A35" s="14" t="s">
        <v>18</v>
      </c>
      <c r="B35" s="14" t="s">
        <v>16</v>
      </c>
      <c r="C35" s="22">
        <v>7944</v>
      </c>
      <c r="D35" s="22">
        <v>1108.0164599999998</v>
      </c>
      <c r="E35" s="15">
        <v>0.13947840634441089</v>
      </c>
      <c r="F35" s="22">
        <v>6835.9835400000002</v>
      </c>
      <c r="G35" s="15">
        <v>0.86052159365558911</v>
      </c>
    </row>
    <row r="36" spans="1:7" ht="17.5" x14ac:dyDescent="0.55000000000000004">
      <c r="A36" s="14" t="s">
        <v>18</v>
      </c>
      <c r="B36" s="14" t="s">
        <v>86</v>
      </c>
      <c r="C36" s="22">
        <v>2462</v>
      </c>
      <c r="D36" s="22">
        <v>0</v>
      </c>
      <c r="E36" s="15">
        <v>0</v>
      </c>
      <c r="F36" s="22">
        <v>2462</v>
      </c>
      <c r="G36" s="15">
        <v>1</v>
      </c>
    </row>
    <row r="37" spans="1:7" ht="17.5" x14ac:dyDescent="0.55000000000000004">
      <c r="A37" s="14" t="s">
        <v>18</v>
      </c>
      <c r="B37" s="14" t="s">
        <v>17</v>
      </c>
      <c r="C37" s="22">
        <v>2595</v>
      </c>
      <c r="D37" s="22">
        <v>125.49600000000009</v>
      </c>
      <c r="E37" s="15">
        <v>4.8360693641618546E-2</v>
      </c>
      <c r="F37" s="22">
        <v>2469.5039999999999</v>
      </c>
      <c r="G37" s="15">
        <v>0.95163930635838145</v>
      </c>
    </row>
    <row r="38" spans="1:7" ht="17.5" x14ac:dyDescent="0.55000000000000004">
      <c r="A38" s="14" t="s">
        <v>18</v>
      </c>
      <c r="B38" s="14" t="s">
        <v>52</v>
      </c>
      <c r="C38" s="22">
        <v>1062</v>
      </c>
      <c r="D38" s="22">
        <v>20.394000000000005</v>
      </c>
      <c r="E38" s="15">
        <v>1.920338983050851E-2</v>
      </c>
      <c r="F38" s="22">
        <v>1041.606</v>
      </c>
      <c r="G38" s="15">
        <v>0.98079661016949149</v>
      </c>
    </row>
    <row r="39" spans="1:7" ht="17.5" x14ac:dyDescent="0.55000000000000004">
      <c r="A39" s="14" t="s">
        <v>55</v>
      </c>
      <c r="B39" s="14" t="s">
        <v>51</v>
      </c>
      <c r="C39" s="22">
        <v>69631</v>
      </c>
      <c r="D39" s="22">
        <v>6816.1377040000007</v>
      </c>
      <c r="E39" s="15">
        <v>9.7889412819002986E-2</v>
      </c>
      <c r="F39" s="22">
        <v>62814.862295999999</v>
      </c>
      <c r="G39" s="15">
        <v>0.90211058718099701</v>
      </c>
    </row>
    <row r="40" spans="1:7" ht="17.5" x14ac:dyDescent="0.55000000000000004">
      <c r="A40" s="14" t="s">
        <v>55</v>
      </c>
      <c r="B40" s="14" t="s">
        <v>52</v>
      </c>
      <c r="C40" s="22">
        <v>24849</v>
      </c>
      <c r="D40" s="22">
        <v>3091.4392659999976</v>
      </c>
      <c r="E40" s="15">
        <v>0.12440900100607666</v>
      </c>
      <c r="F40" s="22">
        <v>21757.560734000002</v>
      </c>
      <c r="G40" s="15">
        <v>0.87559099899392334</v>
      </c>
    </row>
    <row r="41" spans="1:7" ht="17.5" x14ac:dyDescent="0.55000000000000004">
      <c r="A41" s="14" t="s">
        <v>55</v>
      </c>
      <c r="B41" s="14" t="s">
        <v>118</v>
      </c>
      <c r="C41" s="22">
        <v>4970</v>
      </c>
      <c r="D41" s="22">
        <v>3082.4294150000001</v>
      </c>
      <c r="E41" s="15">
        <v>0.62020712575452719</v>
      </c>
      <c r="F41" s="22">
        <v>1887.5705849999999</v>
      </c>
      <c r="G41" s="15">
        <v>0.37979287424547281</v>
      </c>
    </row>
    <row r="42" spans="1:7" ht="17.5" x14ac:dyDescent="0.55000000000000004">
      <c r="A42" s="14" t="s">
        <v>55</v>
      </c>
      <c r="B42" s="14" t="s">
        <v>79</v>
      </c>
      <c r="C42" s="22">
        <v>4970</v>
      </c>
      <c r="D42" s="22">
        <v>8.7200000000002547</v>
      </c>
      <c r="E42" s="15">
        <v>1.7545271629779702E-3</v>
      </c>
      <c r="F42" s="22">
        <v>4961.28</v>
      </c>
      <c r="G42" s="15">
        <v>0.99824547283702203</v>
      </c>
    </row>
    <row r="43" spans="1:7" ht="17.5" x14ac:dyDescent="0.55000000000000004">
      <c r="A43" s="14" t="s">
        <v>55</v>
      </c>
      <c r="B43" s="14" t="s">
        <v>95</v>
      </c>
      <c r="C43" s="22">
        <v>4970</v>
      </c>
      <c r="D43" s="22">
        <v>0.28984999999920547</v>
      </c>
      <c r="E43" s="15">
        <v>5.8319919516991447E-5</v>
      </c>
      <c r="F43" s="22">
        <v>4969.7101500000008</v>
      </c>
      <c r="G43" s="15">
        <v>0.99994168008048301</v>
      </c>
    </row>
    <row r="44" spans="1:7" ht="17.5" x14ac:dyDescent="0.55000000000000004">
      <c r="A44" s="14" t="s">
        <v>55</v>
      </c>
      <c r="B44" s="14" t="s">
        <v>97</v>
      </c>
      <c r="C44" s="22">
        <v>4970</v>
      </c>
      <c r="D44" s="22">
        <v>0</v>
      </c>
      <c r="E44" s="15">
        <v>0</v>
      </c>
      <c r="F44" s="22">
        <v>4970</v>
      </c>
      <c r="G44" s="15">
        <v>1</v>
      </c>
    </row>
    <row r="45" spans="1:7" ht="17.5" x14ac:dyDescent="0.55000000000000004">
      <c r="A45" s="14" t="s">
        <v>55</v>
      </c>
      <c r="B45" s="14" t="s">
        <v>92</v>
      </c>
      <c r="C45" s="22">
        <v>4970</v>
      </c>
      <c r="D45" s="22">
        <v>0</v>
      </c>
      <c r="E45" s="15">
        <v>0</v>
      </c>
      <c r="F45" s="22">
        <v>4970</v>
      </c>
      <c r="G45" s="15">
        <v>1</v>
      </c>
    </row>
    <row r="46" spans="1:7" ht="17.5" x14ac:dyDescent="0.55000000000000004">
      <c r="A46" s="14" t="s">
        <v>55</v>
      </c>
      <c r="B46" s="14" t="s">
        <v>94</v>
      </c>
      <c r="C46" s="22">
        <v>4970</v>
      </c>
      <c r="D46" s="22">
        <v>0</v>
      </c>
      <c r="E46" s="15">
        <v>0</v>
      </c>
      <c r="F46" s="22">
        <v>4970</v>
      </c>
      <c r="G46" s="15">
        <v>1</v>
      </c>
    </row>
    <row r="47" spans="1:7" ht="17.5" x14ac:dyDescent="0.55000000000000004">
      <c r="A47" s="14" t="s">
        <v>56</v>
      </c>
      <c r="B47" s="14" t="s">
        <v>51</v>
      </c>
      <c r="C47" s="22">
        <v>28876</v>
      </c>
      <c r="D47" s="22">
        <v>1466.0298689999981</v>
      </c>
      <c r="E47" s="15">
        <v>5.0769838931984945E-2</v>
      </c>
      <c r="F47" s="22">
        <v>27409.970131000002</v>
      </c>
      <c r="G47" s="15">
        <v>0.94923016106801505</v>
      </c>
    </row>
    <row r="48" spans="1:7" ht="17.5" x14ac:dyDescent="0.55000000000000004">
      <c r="A48" s="14" t="s">
        <v>56</v>
      </c>
      <c r="B48" s="14" t="s">
        <v>52</v>
      </c>
      <c r="C48" s="22">
        <v>4153</v>
      </c>
      <c r="D48" s="22">
        <v>1.2719999999999345</v>
      </c>
      <c r="E48" s="15">
        <v>3.0628461353232606E-4</v>
      </c>
      <c r="F48" s="22">
        <v>4151.7280000000001</v>
      </c>
      <c r="G48" s="15">
        <v>0.99969371538646767</v>
      </c>
    </row>
    <row r="49" spans="1:7" ht="17.5" x14ac:dyDescent="0.55000000000000004">
      <c r="A49" s="14" t="s">
        <v>57</v>
      </c>
      <c r="B49" s="14" t="s">
        <v>51</v>
      </c>
      <c r="C49" s="22">
        <v>34688</v>
      </c>
      <c r="D49" s="22">
        <v>5432.0946779999977</v>
      </c>
      <c r="E49" s="15">
        <v>0.15659867037592246</v>
      </c>
      <c r="F49" s="22">
        <v>29255.905322000002</v>
      </c>
      <c r="G49" s="15">
        <v>0.84340132962407754</v>
      </c>
    </row>
    <row r="50" spans="1:7" ht="17.5" x14ac:dyDescent="0.55000000000000004">
      <c r="A50" s="14" t="s">
        <v>57</v>
      </c>
      <c r="B50" s="14" t="s">
        <v>11</v>
      </c>
      <c r="C50" s="22">
        <v>13056</v>
      </c>
      <c r="D50" s="22">
        <v>13056</v>
      </c>
      <c r="E50" s="15">
        <v>1</v>
      </c>
      <c r="F50" s="22">
        <v>0</v>
      </c>
      <c r="G50" s="15">
        <v>0</v>
      </c>
    </row>
    <row r="51" spans="1:7" ht="17.5" x14ac:dyDescent="0.55000000000000004">
      <c r="A51" s="14" t="s">
        <v>57</v>
      </c>
      <c r="B51" s="14" t="s">
        <v>52</v>
      </c>
      <c r="C51" s="22">
        <v>7419</v>
      </c>
      <c r="D51" s="22">
        <v>3.5640000000003056</v>
      </c>
      <c r="E51" s="15">
        <v>4.8038819247886444E-4</v>
      </c>
      <c r="F51" s="22">
        <v>7415.4359999999997</v>
      </c>
      <c r="G51" s="15">
        <v>0.99951961180752114</v>
      </c>
    </row>
    <row r="52" spans="1:7" ht="17.5" x14ac:dyDescent="0.55000000000000004">
      <c r="A52" s="14" t="s">
        <v>23</v>
      </c>
      <c r="B52" s="14" t="s">
        <v>51</v>
      </c>
      <c r="C52" s="22">
        <v>72902</v>
      </c>
      <c r="D52" s="22">
        <v>5230.0272799999948</v>
      </c>
      <c r="E52" s="15">
        <v>7.1740518504293416E-2</v>
      </c>
      <c r="F52" s="22">
        <v>67671.972720000005</v>
      </c>
      <c r="G52" s="15">
        <v>0.92825948149570658</v>
      </c>
    </row>
    <row r="53" spans="1:7" ht="17.5" x14ac:dyDescent="0.55000000000000004">
      <c r="A53" s="14" t="s">
        <v>23</v>
      </c>
      <c r="B53" s="14" t="s">
        <v>11</v>
      </c>
      <c r="C53" s="22">
        <v>34538</v>
      </c>
      <c r="D53" s="22">
        <v>9549.2400000000016</v>
      </c>
      <c r="E53" s="15">
        <v>0.27648503098036947</v>
      </c>
      <c r="F53" s="22">
        <v>24988.76</v>
      </c>
      <c r="G53" s="15">
        <v>0.72351496901963053</v>
      </c>
    </row>
    <row r="54" spans="1:7" ht="17.5" x14ac:dyDescent="0.55000000000000004">
      <c r="A54" s="14" t="s">
        <v>23</v>
      </c>
      <c r="B54" s="14" t="s">
        <v>52</v>
      </c>
      <c r="C54" s="22">
        <v>23514</v>
      </c>
      <c r="D54" s="22">
        <v>0</v>
      </c>
      <c r="E54" s="15">
        <v>0</v>
      </c>
      <c r="F54" s="22">
        <v>23514</v>
      </c>
      <c r="G54" s="15">
        <v>1</v>
      </c>
    </row>
    <row r="55" spans="1:7" ht="17.5" x14ac:dyDescent="0.55000000000000004">
      <c r="A55" s="14" t="s">
        <v>23</v>
      </c>
      <c r="B55" s="14" t="s">
        <v>81</v>
      </c>
      <c r="C55" s="22">
        <v>4703</v>
      </c>
      <c r="D55" s="22">
        <v>0</v>
      </c>
      <c r="E55" s="15">
        <v>0</v>
      </c>
      <c r="F55" s="22">
        <v>4703</v>
      </c>
      <c r="G55" s="15">
        <v>1</v>
      </c>
    </row>
    <row r="56" spans="1:7" ht="17.5" x14ac:dyDescent="0.55000000000000004">
      <c r="A56" s="14" t="s">
        <v>23</v>
      </c>
      <c r="B56" s="14" t="s">
        <v>78</v>
      </c>
      <c r="C56" s="22">
        <v>4703</v>
      </c>
      <c r="D56" s="22">
        <v>1507.6</v>
      </c>
      <c r="E56" s="15">
        <v>0.32056134382309165</v>
      </c>
      <c r="F56" s="22">
        <v>3195.4</v>
      </c>
      <c r="G56" s="15">
        <v>0.67943865617690835</v>
      </c>
    </row>
    <row r="57" spans="1:7" ht="17.5" x14ac:dyDescent="0.55000000000000004">
      <c r="A57" s="14" t="s">
        <v>23</v>
      </c>
      <c r="B57" s="14" t="s">
        <v>95</v>
      </c>
      <c r="C57" s="22">
        <v>4703</v>
      </c>
      <c r="D57" s="22">
        <v>0</v>
      </c>
      <c r="E57" s="15">
        <v>0</v>
      </c>
      <c r="F57" s="22">
        <v>4703</v>
      </c>
      <c r="G57" s="15">
        <v>1</v>
      </c>
    </row>
    <row r="58" spans="1:7" ht="17.5" x14ac:dyDescent="0.55000000000000004">
      <c r="A58" s="14" t="s">
        <v>23</v>
      </c>
      <c r="B58" s="14" t="s">
        <v>120</v>
      </c>
      <c r="C58" s="22">
        <v>4703</v>
      </c>
      <c r="D58" s="22">
        <v>0</v>
      </c>
      <c r="E58" s="15">
        <v>0</v>
      </c>
      <c r="F58" s="22">
        <v>4703</v>
      </c>
      <c r="G58" s="15">
        <v>1</v>
      </c>
    </row>
    <row r="59" spans="1:7" ht="17.5" x14ac:dyDescent="0.55000000000000004">
      <c r="A59" s="14" t="s">
        <v>23</v>
      </c>
      <c r="B59" s="14" t="s">
        <v>121</v>
      </c>
      <c r="C59" s="22">
        <v>4703</v>
      </c>
      <c r="D59" s="22">
        <v>0</v>
      </c>
      <c r="E59" s="15">
        <v>0</v>
      </c>
      <c r="F59" s="22">
        <v>4703</v>
      </c>
      <c r="G59" s="15">
        <v>1</v>
      </c>
    </row>
    <row r="60" spans="1:7" ht="17.5" x14ac:dyDescent="0.55000000000000004">
      <c r="A60" s="14" t="s">
        <v>23</v>
      </c>
      <c r="B60" s="14" t="s">
        <v>79</v>
      </c>
      <c r="C60" s="22">
        <v>4703</v>
      </c>
      <c r="D60" s="22">
        <v>0</v>
      </c>
      <c r="E60" s="15">
        <v>0</v>
      </c>
      <c r="F60" s="22">
        <v>4703</v>
      </c>
      <c r="G60" s="15">
        <v>1</v>
      </c>
    </row>
    <row r="61" spans="1:7" ht="17.5" x14ac:dyDescent="0.55000000000000004">
      <c r="A61" s="14" t="s">
        <v>58</v>
      </c>
      <c r="B61" s="14" t="s">
        <v>51</v>
      </c>
      <c r="C61" s="22">
        <v>73389</v>
      </c>
      <c r="D61" s="22">
        <v>8797.6841370000038</v>
      </c>
      <c r="E61" s="15">
        <v>0.11987742218861142</v>
      </c>
      <c r="F61" s="22">
        <v>64591.315862999996</v>
      </c>
      <c r="G61" s="15">
        <v>0.88012257781138858</v>
      </c>
    </row>
    <row r="62" spans="1:7" ht="17.5" x14ac:dyDescent="0.55000000000000004">
      <c r="A62" s="14" t="s">
        <v>58</v>
      </c>
      <c r="B62" s="14" t="s">
        <v>52</v>
      </c>
      <c r="C62" s="22">
        <v>3204</v>
      </c>
      <c r="D62" s="22">
        <v>872.80600000000004</v>
      </c>
      <c r="E62" s="15">
        <v>0.2724113607990013</v>
      </c>
      <c r="F62" s="22">
        <v>2331.194</v>
      </c>
      <c r="G62" s="15">
        <v>0.7275886392009987</v>
      </c>
    </row>
    <row r="63" spans="1:7" ht="17.5" x14ac:dyDescent="0.55000000000000004">
      <c r="A63" s="14" t="s">
        <v>87</v>
      </c>
      <c r="B63" s="14" t="s">
        <v>51</v>
      </c>
      <c r="C63" s="22">
        <v>167102</v>
      </c>
      <c r="D63" s="22">
        <v>7518.5056999999797</v>
      </c>
      <c r="E63" s="15">
        <v>4.4993511148878951E-2</v>
      </c>
      <c r="F63" s="22">
        <v>159583.49430000002</v>
      </c>
      <c r="G63" s="15">
        <v>0.95500648885112105</v>
      </c>
    </row>
    <row r="64" spans="1:7" ht="17.5" x14ac:dyDescent="0.55000000000000004">
      <c r="A64" s="14" t="s">
        <v>87</v>
      </c>
      <c r="B64" s="14" t="s">
        <v>52</v>
      </c>
      <c r="C64" s="22">
        <v>17366</v>
      </c>
      <c r="D64" s="22">
        <v>5287.2739999999994</v>
      </c>
      <c r="E64" s="15">
        <v>0.30446124611309455</v>
      </c>
      <c r="F64" s="22">
        <v>12078.726000000001</v>
      </c>
      <c r="G64" s="15">
        <v>0.69553875388690545</v>
      </c>
    </row>
    <row r="65" spans="1:7" ht="17.5" x14ac:dyDescent="0.55000000000000004">
      <c r="A65" s="14" t="s">
        <v>33</v>
      </c>
      <c r="B65" s="14" t="s">
        <v>51</v>
      </c>
      <c r="C65" s="22">
        <v>4693</v>
      </c>
      <c r="D65" s="22">
        <v>798.24302699999998</v>
      </c>
      <c r="E65" s="15">
        <v>0.17009227082889411</v>
      </c>
      <c r="F65" s="22">
        <v>3894.756973</v>
      </c>
      <c r="G65" s="15">
        <v>0.82990772917110589</v>
      </c>
    </row>
    <row r="66" spans="1:7" ht="17.5" x14ac:dyDescent="0.55000000000000004">
      <c r="A66" s="14" t="s">
        <v>33</v>
      </c>
      <c r="B66" s="14" t="s">
        <v>52</v>
      </c>
      <c r="C66" s="22">
        <v>138</v>
      </c>
      <c r="D66" s="22">
        <v>0</v>
      </c>
      <c r="E66" s="15">
        <v>0</v>
      </c>
      <c r="F66" s="22">
        <v>138</v>
      </c>
      <c r="G66" s="15">
        <v>1</v>
      </c>
    </row>
    <row r="67" spans="1:7" ht="17.5" x14ac:dyDescent="0.55000000000000004">
      <c r="A67" s="14" t="s">
        <v>34</v>
      </c>
      <c r="B67" s="14" t="s">
        <v>51</v>
      </c>
      <c r="C67" s="22">
        <v>6925</v>
      </c>
      <c r="D67" s="22">
        <v>180.02850800000033</v>
      </c>
      <c r="E67" s="15">
        <v>2.599689646209391E-2</v>
      </c>
      <c r="F67" s="22">
        <v>6744.9714919999997</v>
      </c>
      <c r="G67" s="15">
        <v>0.97400310353790609</v>
      </c>
    </row>
    <row r="68" spans="1:7" ht="17.5" x14ac:dyDescent="0.55000000000000004">
      <c r="A68" s="14" t="s">
        <v>34</v>
      </c>
      <c r="B68" s="14" t="s">
        <v>12</v>
      </c>
      <c r="C68" s="22">
        <v>3561</v>
      </c>
      <c r="D68" s="22">
        <v>513.71599999999989</v>
      </c>
      <c r="E68" s="15">
        <v>0.14426172423476546</v>
      </c>
      <c r="F68" s="22">
        <v>3047.2840000000001</v>
      </c>
      <c r="G68" s="15">
        <v>0.85573827576523454</v>
      </c>
    </row>
    <row r="69" spans="1:7" ht="17.5" x14ac:dyDescent="0.55000000000000004">
      <c r="A69" s="14" t="s">
        <v>34</v>
      </c>
      <c r="B69" s="14" t="s">
        <v>11</v>
      </c>
      <c r="C69" s="22">
        <v>15386</v>
      </c>
      <c r="D69" s="22">
        <v>6510.3486699999994</v>
      </c>
      <c r="E69" s="15">
        <v>0.42313458143767058</v>
      </c>
      <c r="F69" s="22">
        <v>8875.6513300000006</v>
      </c>
      <c r="G69" s="15">
        <v>0.57686541856232942</v>
      </c>
    </row>
    <row r="70" spans="1:7" ht="17.5" x14ac:dyDescent="0.55000000000000004">
      <c r="A70" s="14" t="s">
        <v>34</v>
      </c>
      <c r="B70" s="14" t="s">
        <v>52</v>
      </c>
      <c r="C70" s="22">
        <v>724</v>
      </c>
      <c r="D70" s="22">
        <v>28.948999999999955</v>
      </c>
      <c r="E70" s="15">
        <v>3.9984806629834169E-2</v>
      </c>
      <c r="F70" s="22">
        <v>695.05100000000004</v>
      </c>
      <c r="G70" s="15">
        <v>0.96001519337016583</v>
      </c>
    </row>
    <row r="71" spans="1:7" ht="17.5" x14ac:dyDescent="0.55000000000000004">
      <c r="A71" s="14" t="s">
        <v>36</v>
      </c>
      <c r="B71" s="14" t="s">
        <v>51</v>
      </c>
      <c r="C71" s="22">
        <v>11086</v>
      </c>
      <c r="D71" s="22">
        <v>1486.318709000001</v>
      </c>
      <c r="E71" s="15">
        <v>0.13407168581995321</v>
      </c>
      <c r="F71" s="22">
        <v>9599.681290999999</v>
      </c>
      <c r="G71" s="15">
        <v>0.86592831418004679</v>
      </c>
    </row>
    <row r="72" spans="1:7" ht="17.5" x14ac:dyDescent="0.55000000000000004">
      <c r="A72" s="14" t="s">
        <v>36</v>
      </c>
      <c r="B72" s="14" t="s">
        <v>11</v>
      </c>
      <c r="C72" s="22">
        <v>36524</v>
      </c>
      <c r="D72" s="22">
        <v>26085.895499999999</v>
      </c>
      <c r="E72" s="15">
        <v>0.71421244934837369</v>
      </c>
      <c r="F72" s="22">
        <v>10438.104499999999</v>
      </c>
      <c r="G72" s="15">
        <v>0.28578755065162631</v>
      </c>
    </row>
    <row r="73" spans="1:7" ht="17.5" x14ac:dyDescent="0.55000000000000004">
      <c r="A73" s="14" t="s">
        <v>36</v>
      </c>
      <c r="B73" s="14" t="s">
        <v>52</v>
      </c>
      <c r="C73" s="22">
        <v>3370</v>
      </c>
      <c r="D73" s="22">
        <v>1053.3560000000002</v>
      </c>
      <c r="E73" s="15">
        <v>0.31256854599406536</v>
      </c>
      <c r="F73" s="22">
        <v>2316.6439999999998</v>
      </c>
      <c r="G73" s="15">
        <v>0.68743145400593464</v>
      </c>
    </row>
    <row r="74" spans="1:7" ht="17.5" x14ac:dyDescent="0.55000000000000004">
      <c r="A74" s="14" t="s">
        <v>88</v>
      </c>
      <c r="B74" s="14" t="s">
        <v>51</v>
      </c>
      <c r="C74" s="22">
        <v>6195</v>
      </c>
      <c r="D74" s="22">
        <v>5507.6474799999996</v>
      </c>
      <c r="E74" s="15">
        <v>0.88904721226795802</v>
      </c>
      <c r="F74" s="22">
        <v>687.35252000000003</v>
      </c>
      <c r="G74" s="15">
        <v>0.11095278773204198</v>
      </c>
    </row>
    <row r="75" spans="1:7" ht="17.5" x14ac:dyDescent="0.55000000000000004">
      <c r="A75" s="14" t="s">
        <v>88</v>
      </c>
      <c r="B75" s="14" t="s">
        <v>28</v>
      </c>
      <c r="C75" s="22">
        <v>8097</v>
      </c>
      <c r="D75" s="22">
        <v>0</v>
      </c>
      <c r="E75" s="15">
        <v>0</v>
      </c>
      <c r="F75" s="22">
        <v>8097</v>
      </c>
      <c r="G75" s="15">
        <v>1</v>
      </c>
    </row>
    <row r="76" spans="1:7" ht="17.5" x14ac:dyDescent="0.55000000000000004">
      <c r="A76" s="14" t="s">
        <v>88</v>
      </c>
      <c r="B76" s="14" t="s">
        <v>86</v>
      </c>
      <c r="C76" s="22">
        <v>1237</v>
      </c>
      <c r="D76" s="22">
        <v>139.66399999999999</v>
      </c>
      <c r="E76" s="15">
        <v>0.1129054163298302</v>
      </c>
      <c r="F76" s="22">
        <v>1097.336</v>
      </c>
      <c r="G76" s="15">
        <v>0.8870945836701698</v>
      </c>
    </row>
    <row r="77" spans="1:7" ht="17.5" x14ac:dyDescent="0.55000000000000004">
      <c r="A77" s="14" t="s">
        <v>88</v>
      </c>
      <c r="B77" s="14" t="s">
        <v>52</v>
      </c>
      <c r="C77" s="22">
        <v>2184</v>
      </c>
      <c r="D77" s="22">
        <v>8.0329999999999018</v>
      </c>
      <c r="E77" s="15">
        <v>3.6781135531135378E-3</v>
      </c>
      <c r="F77" s="22">
        <v>2175.9670000000001</v>
      </c>
      <c r="G77" s="15">
        <v>0.99632188644688646</v>
      </c>
    </row>
    <row r="78" spans="1:7" ht="17.5" x14ac:dyDescent="0.55000000000000004">
      <c r="A78" s="14" t="s">
        <v>89</v>
      </c>
      <c r="B78" s="14" t="s">
        <v>52</v>
      </c>
      <c r="C78" s="22">
        <v>15936</v>
      </c>
      <c r="D78" s="22">
        <v>1460.062883999999</v>
      </c>
      <c r="E78" s="15">
        <v>9.1620411897590293E-2</v>
      </c>
      <c r="F78" s="22">
        <v>14475.937116000001</v>
      </c>
      <c r="G78" s="15">
        <v>0.90837958810240971</v>
      </c>
    </row>
    <row r="79" spans="1:7" ht="17.5" x14ac:dyDescent="0.55000000000000004">
      <c r="A79" s="14" t="s">
        <v>89</v>
      </c>
      <c r="B79" s="14" t="s">
        <v>51</v>
      </c>
      <c r="C79" s="22">
        <v>2007</v>
      </c>
      <c r="D79" s="22">
        <v>521.69099400000005</v>
      </c>
      <c r="E79" s="15">
        <v>0.25993572197309422</v>
      </c>
      <c r="F79" s="22">
        <v>1485.309006</v>
      </c>
      <c r="G79" s="15">
        <v>0.74006427802690578</v>
      </c>
    </row>
    <row r="80" spans="1:7" ht="17.5" x14ac:dyDescent="0.55000000000000004">
      <c r="A80" s="14" t="s">
        <v>89</v>
      </c>
      <c r="B80" s="14" t="s">
        <v>28</v>
      </c>
      <c r="C80" s="22">
        <v>4580</v>
      </c>
      <c r="D80" s="22">
        <v>0</v>
      </c>
      <c r="E80" s="15">
        <v>0</v>
      </c>
      <c r="F80" s="22">
        <v>4580</v>
      </c>
      <c r="G80" s="15">
        <v>1</v>
      </c>
    </row>
    <row r="81" spans="1:7" ht="17.5" x14ac:dyDescent="0.55000000000000004">
      <c r="A81" s="14" t="s">
        <v>89</v>
      </c>
      <c r="B81" s="14" t="s">
        <v>86</v>
      </c>
      <c r="C81" s="22">
        <v>4831</v>
      </c>
      <c r="D81" s="22">
        <v>0.52800000000024738</v>
      </c>
      <c r="E81" s="15">
        <v>1.092941419996718E-4</v>
      </c>
      <c r="F81" s="22">
        <v>4830.4719999999998</v>
      </c>
      <c r="G81" s="15">
        <v>0.99989070585800033</v>
      </c>
    </row>
    <row r="82" spans="1:7" ht="17.5" x14ac:dyDescent="0.55000000000000004">
      <c r="A82" s="14" t="s">
        <v>39</v>
      </c>
      <c r="B82" s="14" t="s">
        <v>52</v>
      </c>
      <c r="C82" s="22">
        <v>22323</v>
      </c>
      <c r="D82" s="22">
        <v>1537.7133130000002</v>
      </c>
      <c r="E82" s="15">
        <v>6.8884706939031481E-2</v>
      </c>
      <c r="F82" s="22">
        <v>20785.286687</v>
      </c>
      <c r="G82" s="15">
        <v>0.93111529306096852</v>
      </c>
    </row>
    <row r="83" spans="1:7" ht="17.5" x14ac:dyDescent="0.55000000000000004">
      <c r="A83" s="14" t="s">
        <v>39</v>
      </c>
      <c r="B83" s="14" t="s">
        <v>51</v>
      </c>
      <c r="C83" s="22">
        <v>5733</v>
      </c>
      <c r="D83" s="22">
        <v>662.9823180000003</v>
      </c>
      <c r="E83" s="15">
        <v>0.11564317425431714</v>
      </c>
      <c r="F83" s="22">
        <v>5070.0176819999997</v>
      </c>
      <c r="G83" s="15">
        <v>0.88435682574568286</v>
      </c>
    </row>
    <row r="84" spans="1:7" ht="17.5" x14ac:dyDescent="0.55000000000000004">
      <c r="A84" s="14" t="s">
        <v>39</v>
      </c>
      <c r="B84" s="14" t="s">
        <v>16</v>
      </c>
      <c r="C84" s="22">
        <v>10898</v>
      </c>
      <c r="D84" s="22">
        <v>3620.8883509999996</v>
      </c>
      <c r="E84" s="15">
        <v>0.33225255560653322</v>
      </c>
      <c r="F84" s="22">
        <v>7277.1116490000004</v>
      </c>
      <c r="G84" s="15">
        <v>0.66774744439346678</v>
      </c>
    </row>
    <row r="85" spans="1:7" ht="17.5" x14ac:dyDescent="0.55000000000000004">
      <c r="A85" s="14" t="s">
        <v>39</v>
      </c>
      <c r="B85" s="14" t="s">
        <v>11</v>
      </c>
      <c r="C85" s="22">
        <v>15002</v>
      </c>
      <c r="D85" s="22">
        <v>1372.4840000000004</v>
      </c>
      <c r="E85" s="15">
        <v>9.1486735101986461E-2</v>
      </c>
      <c r="F85" s="22">
        <v>13629.516</v>
      </c>
      <c r="G85" s="15">
        <v>0.90851326489801354</v>
      </c>
    </row>
    <row r="86" spans="1:7" ht="17.5" x14ac:dyDescent="0.55000000000000004">
      <c r="A86" s="14" t="s">
        <v>39</v>
      </c>
      <c r="B86" s="14" t="s">
        <v>32</v>
      </c>
      <c r="C86" s="22">
        <v>9898</v>
      </c>
      <c r="D86" s="22">
        <v>748.70534000000043</v>
      </c>
      <c r="E86" s="15">
        <v>7.5642083249141234E-2</v>
      </c>
      <c r="F86" s="22">
        <v>9149.2946599999996</v>
      </c>
      <c r="G86" s="15">
        <v>0.92435791675085877</v>
      </c>
    </row>
  </sheetData>
  <sheetProtection sheet="1" selectLockedCells="1" sort="0" autoFilter="0" pivotTables="0"/>
  <protectedRanges>
    <protectedRange sqref="A15:G86" name="Range1"/>
  </protectedRanges>
  <mergeCells count="1">
    <mergeCell ref="E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European Union</vt:lpstr>
      <vt:lpstr>United Kingdom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Jonathon Green</dc:creator>
  <cp:lastModifiedBy>Jonathon Carruthers-Green</cp:lastModifiedBy>
  <dcterms:created xsi:type="dcterms:W3CDTF">2015-06-05T18:17:20Z</dcterms:created>
  <dcterms:modified xsi:type="dcterms:W3CDTF">2026-01-21T11:29:26Z</dcterms:modified>
</cp:coreProperties>
</file>